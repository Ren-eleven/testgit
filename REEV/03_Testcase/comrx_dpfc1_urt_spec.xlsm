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E:\01_XCK_job\01_Project\03CANTeam\01CAN_Prj\01REEV\03输出物\REEV\05_Testcase\"/>
    </mc:Choice>
  </mc:AlternateContent>
  <xr:revisionPtr revIDLastSave="0" documentId="13_ncr:1_{58458C0C-32F7-4BDC-A380-6DBCDF85B610}" xr6:coauthVersionLast="47" xr6:coauthVersionMax="47" xr10:uidLastSave="{00000000-0000-0000-0000-000000000000}"/>
  <bookViews>
    <workbookView xWindow="-30828" yWindow="-600" windowWidth="30936" windowHeight="16776" tabRatio="896" activeTab="2" xr2:uid="{00000000-000D-0000-FFFF-FFFF00000000}"/>
  </bookViews>
  <sheets>
    <sheet name="General_Info" sheetId="17" r:id="rId1"/>
    <sheet name="UX" sheetId="24" state="veryHidden" r:id="rId2"/>
    <sheet name="Test_Specification" sheetId="25" r:id="rId3"/>
    <sheet name="Example_Test_Specification" sheetId="38" r:id="rId4"/>
    <sheet name="EC_BVA_Data x.y" sheetId="36" r:id="rId5"/>
    <sheet name="DT_Data x.y" sheetId="35" r:id="rId6"/>
    <sheet name="Helpful Links" sheetId="34" r:id="rId7"/>
    <sheet name="History of Template" sheetId="33" r:id="rId8"/>
  </sheets>
  <definedNames>
    <definedName name="_xlnm._FilterDatabase" localSheetId="3" hidden="1">Example_Test_Specification!$D$2:$M$26</definedName>
    <definedName name="_xlnm._FilterDatabase" localSheetId="2" hidden="1">Test_Specification!$D$2:$M$35</definedName>
    <definedName name="B" localSheetId="3">#REF!</definedName>
    <definedName name="B">#REF!</definedName>
    <definedName name="B10000000" localSheetId="5">#REF!</definedName>
    <definedName name="B10000000" localSheetId="4">#REF!</definedName>
    <definedName name="B10000000" localSheetId="3">#REF!</definedName>
    <definedName name="B10000000" localSheetId="0">#REF!</definedName>
    <definedName name="B10000000" localSheetId="6">#REF!</definedName>
    <definedName name="B10000000" localSheetId="7">#REF!</definedName>
    <definedName name="B10000000" localSheetId="2">#REF!</definedName>
    <definedName name="B10000000">#REF!</definedName>
    <definedName name="B1000000000" localSheetId="5">#REF!</definedName>
    <definedName name="B1000000000" localSheetId="4">#REF!</definedName>
    <definedName name="B1000000000" localSheetId="3">#REF!</definedName>
    <definedName name="B1000000000" localSheetId="0">#REF!</definedName>
    <definedName name="B1000000000" localSheetId="6">#REF!</definedName>
    <definedName name="B1000000000" localSheetId="7">#REF!</definedName>
    <definedName name="B1000000000" localSheetId="2">#REF!</definedName>
    <definedName name="B1000000000">#REF!</definedName>
    <definedName name="Einleitung_Testspezifikation_URT_DE" localSheetId="5">#REF!</definedName>
    <definedName name="Einleitung_Testspezifikation_URT_DE" localSheetId="4">#REF!</definedName>
    <definedName name="Einleitung_Testspezifikation_URT_DE" localSheetId="3">#REF!</definedName>
    <definedName name="Einleitung_Testspezifikation_URT_DE" localSheetId="0">#REF!</definedName>
    <definedName name="Einleitung_Testspezifikation_URT_DE" localSheetId="6">#REF!</definedName>
    <definedName name="Einleitung_Testspezifikation_URT_DE" localSheetId="7">#REF!</definedName>
    <definedName name="Einleitung_Testspezifikation_URT_DE" localSheetId="2">#REF!</definedName>
    <definedName name="Einleitung_Testspezifikation_URT_DE">#REF!</definedName>
    <definedName name="Einleitung_URT_Testspezifikation_DE" localSheetId="5">#REF!</definedName>
    <definedName name="Einleitung_URT_Testspezifikation_DE" localSheetId="4">#REF!</definedName>
    <definedName name="Einleitung_URT_Testspezifikation_DE" localSheetId="3">#REF!</definedName>
    <definedName name="Einleitung_URT_Testspezifikation_DE" localSheetId="0">#REF!</definedName>
    <definedName name="Einleitung_URT_Testspezifikation_DE" localSheetId="6">#REF!</definedName>
    <definedName name="Einleitung_URT_Testspezifikation_DE" localSheetId="7">#REF!</definedName>
    <definedName name="Einleitung_URT_Testspezifikation_DE" localSheetId="2">#REF!</definedName>
    <definedName name="Einleitung_URT_Testspezifikation_DE">#REF!</definedName>
    <definedName name="methodsList" localSheetId="5">'History of Template'!$I$4:$I$8</definedName>
    <definedName name="methodsList" localSheetId="4">'History of Template'!$I$4:$I$8</definedName>
    <definedName name="methodsList" localSheetId="3">#REF!</definedName>
    <definedName name="methodsList" localSheetId="6">'History of Template'!$I$4:$I$8</definedName>
    <definedName name="methodslist" localSheetId="7">'History of Template'!$I$4:$I$8</definedName>
    <definedName name="methodsList">#REF!</definedName>
    <definedName name="methodsListe" localSheetId="5">'History of Template'!$I$4:$I$9</definedName>
    <definedName name="methodsListe" localSheetId="4">'History of Template'!$I$4:$I$9</definedName>
    <definedName name="methodsListe" localSheetId="3">#REF!</definedName>
    <definedName name="methodsListe" localSheetId="6">'History of Template'!$I$4:$I$9</definedName>
    <definedName name="methodsListe" localSheetId="7">'History of Template'!$I$4:$I$9</definedName>
    <definedName name="methodsListe">#REF!</definedName>
    <definedName name="_xlnm.Print_Area" localSheetId="3">Example_Test_Specification!$D:$I</definedName>
    <definedName name="_xlnm.Print_Area" localSheetId="0">General_Info!$A:$D</definedName>
    <definedName name="_xlnm.Print_Area" localSheetId="2">Test_Specification!$D:$I</definedName>
    <definedName name="stateList" localSheetId="5">#REF!</definedName>
    <definedName name="stateList" localSheetId="4">#REF!</definedName>
    <definedName name="stateList" localSheetId="3">Example_Test_Specification!#REF!</definedName>
    <definedName name="stateList" localSheetId="0">General_Info!#REF!</definedName>
    <definedName name="stateList" localSheetId="6">#REF!</definedName>
    <definedName name="stateList" localSheetId="7">#REF!</definedName>
    <definedName name="stateList" localSheetId="2">Test_Specification!#REF!</definedName>
    <definedName name="stateList">#REF!</definedName>
    <definedName name="TM" localSheetId="5">#REF!</definedName>
    <definedName name="TM" localSheetId="4">#REF!</definedName>
    <definedName name="TM" localSheetId="3">Example_Test_Specification!#REF!</definedName>
    <definedName name="TM" localSheetId="0">General_Info!#REF!</definedName>
    <definedName name="TM" localSheetId="6">#REF!</definedName>
    <definedName name="TM" localSheetId="7">#REF!</definedName>
    <definedName name="TM" localSheetId="2">Test_Specification!#REF!</definedName>
    <definedName name="TM">#REF!</definedName>
    <definedName name="TMlist" localSheetId="5">#REF!</definedName>
    <definedName name="TMlist" localSheetId="4">#REF!</definedName>
    <definedName name="TMlist" localSheetId="3">Example_Test_Specification!#REF!</definedName>
    <definedName name="TMlist" localSheetId="0">General_Info!#REF!</definedName>
    <definedName name="TMlist" localSheetId="6">#REF!</definedName>
    <definedName name="TMlist" localSheetId="7">#REF!</definedName>
    <definedName name="TMlist" localSheetId="2">Test_Specification!#REF!</definedName>
    <definedName name="TMlist">#REF!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7" i="17" l="1"/>
  <c r="N17" i="17"/>
  <c r="P19" i="17"/>
  <c r="N19" i="17"/>
  <c r="P18" i="17"/>
  <c r="N18" i="17"/>
  <c r="P16" i="17"/>
  <c r="N20" i="17"/>
  <c r="N1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tbg2si</author>
    <author>lhl2si</author>
    <author>Daniel Kuhn</author>
  </authors>
  <commentList>
    <comment ref="B3" authorId="0" shapeId="0" xr:uid="{00000000-0006-0000-0000-000001000000}">
      <text>
        <r>
          <rPr>
            <sz val="9"/>
            <color indexed="81"/>
            <rFont val="Arial"/>
            <family val="2"/>
          </rPr>
          <t>Name of tested System Functionality shall be documented here. Additionally all FC names including information about version shall be listed here.</t>
        </r>
      </text>
    </comment>
    <comment ref="C4" authorId="1" shapeId="0" xr:uid="{00000000-0006-0000-0000-000002000000}">
      <text>
        <r>
          <rPr>
            <b/>
            <sz val="9"/>
            <color indexed="81"/>
            <rFont val="Arial"/>
            <family val="2"/>
          </rPr>
          <t>Name and department</t>
        </r>
        <r>
          <rPr>
            <sz val="9"/>
            <color indexed="81"/>
            <rFont val="Arial"/>
            <family val="2"/>
          </rPr>
          <t xml:space="preserve">
e.g. Bond James (PS-EC/EXX)</t>
        </r>
      </text>
    </comment>
    <comment ref="D4" authorId="2" shapeId="0" xr:uid="{00000000-0006-0000-0000-000003000000}">
      <text>
        <r>
          <rPr>
            <b/>
            <sz val="9"/>
            <color indexed="81"/>
            <rFont val="Arial"/>
            <family val="2"/>
          </rPr>
          <t>Date of test specification</t>
        </r>
        <r>
          <rPr>
            <sz val="9"/>
            <color indexed="81"/>
            <rFont val="Arial"/>
            <family val="2"/>
          </rPr>
          <t xml:space="preserve">
DD.MM.YYYY</t>
        </r>
      </text>
    </comment>
    <comment ref="B5" authorId="2" shapeId="0" xr:uid="{00000000-0006-0000-0000-000004000000}">
      <text>
        <r>
          <rPr>
            <b/>
            <sz val="9"/>
            <color indexed="81"/>
            <rFont val="Arial"/>
            <family val="2"/>
          </rPr>
          <t>Fill in, if a Labcar is used to perform the test.</t>
        </r>
        <r>
          <rPr>
            <sz val="9"/>
            <color indexed="81"/>
            <rFont val="Arial"/>
            <family val="2"/>
          </rPr>
          <t xml:space="preserve">
The checked in program version with whom the test is conducted. In case the used program version is not checked in, the base program version for the conducted test has to be mentioned. In case MIL or SIL is used as test environment, the system under test has to be stated here.</t>
        </r>
      </text>
    </comment>
    <comment ref="B6" authorId="2" shapeId="0" xr:uid="{00000000-0006-0000-0000-000005000000}">
      <text>
        <r>
          <rPr>
            <b/>
            <sz val="9"/>
            <color indexed="81"/>
            <rFont val="Arial"/>
            <family val="2"/>
          </rPr>
          <t>Fill in, if a Labcar is used to perform the test.</t>
        </r>
        <r>
          <rPr>
            <sz val="9"/>
            <color indexed="81"/>
            <rFont val="Arial"/>
            <family val="2"/>
          </rPr>
          <t xml:space="preserve">
For the test relevant system constants or SW features and their status. If there are no dependencies to system constants this shall be marked with a dash (-). If the configuration is already defined by the checked in PVER this can be stated with "see PVER".</t>
        </r>
      </text>
    </comment>
    <comment ref="C7" authorId="1" shapeId="0" xr:uid="{00000000-0006-0000-0000-000006000000}">
      <text>
        <r>
          <rPr>
            <b/>
            <sz val="9"/>
            <color indexed="81"/>
            <rFont val="Arial"/>
            <family val="2"/>
          </rPr>
          <t>Name and department</t>
        </r>
        <r>
          <rPr>
            <sz val="9"/>
            <color indexed="81"/>
            <rFont val="Arial"/>
            <family val="2"/>
          </rPr>
          <t xml:space="preserve">
e.g. Bond James (PS-EC/EXX)</t>
        </r>
      </text>
    </comment>
    <comment ref="D7" authorId="2" shapeId="0" xr:uid="{00000000-0006-0000-0000-000007000000}">
      <text>
        <r>
          <rPr>
            <b/>
            <sz val="9"/>
            <color indexed="81"/>
            <rFont val="Arial"/>
            <family val="2"/>
          </rPr>
          <t>Date of test execution</t>
        </r>
        <r>
          <rPr>
            <sz val="9"/>
            <color indexed="81"/>
            <rFont val="Arial"/>
            <family val="2"/>
          </rPr>
          <t xml:space="preserve">
DD.MM.YYYY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2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200-000002000000}">
      <text>
        <r>
          <rPr>
            <sz val="10"/>
            <color indexed="81"/>
            <rFont val="Segoe UI"/>
            <family val="2"/>
          </rPr>
          <t>The name of the test case for easy identification of the test case during re-testing in upcoming development.</t>
        </r>
      </text>
    </comment>
    <comment ref="D2" authorId="2" shapeId="0" xr:uid="{00000000-0006-0000-0200-000003000000}">
      <text>
        <r>
          <rPr>
            <sz val="10"/>
            <color indexed="81"/>
            <rFont val="Segoe UI"/>
            <family val="2"/>
          </rPr>
          <t>The name of the test area (e.g. to be tested feature or combination of the features)</t>
        </r>
      </text>
    </comment>
    <comment ref="E2" authorId="3" shapeId="0" xr:uid="{00000000-0006-0000-02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2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2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200-000007000000}">
      <text>
        <r>
          <rPr>
            <sz val="10"/>
            <color indexed="81"/>
            <rFont val="Segoe UI"/>
            <family val="2"/>
          </rPr>
          <t>Explicit assignment between "Actions" and "Expected Results" shall be given.</t>
        </r>
      </text>
    </comment>
    <comment ref="I2" authorId="1" shapeId="0" xr:uid="{00000000-0006-0000-02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2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2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2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2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00000000-0006-0000-0200-00000D00000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200-00000E000000}">
      <text>
        <r>
          <rPr>
            <sz val="10"/>
            <color indexed="81"/>
            <rFont val="Segoe UI"/>
            <family val="2"/>
          </rPr>
          <t>e.g. explanation of test result, name of Dat-File….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3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300-000002000000}">
      <text>
        <r>
          <rPr>
            <sz val="10"/>
            <color indexed="81"/>
            <rFont val="Segoe UI"/>
            <family val="2"/>
          </rPr>
          <t>The name of the test case for easy identification of the test case during re-testing in upcoming development.</t>
        </r>
      </text>
    </comment>
    <comment ref="D2" authorId="2" shapeId="0" xr:uid="{00000000-0006-0000-0300-000003000000}">
      <text>
        <r>
          <rPr>
            <sz val="10"/>
            <color indexed="81"/>
            <rFont val="Segoe UI"/>
            <family val="2"/>
          </rPr>
          <t>The name of the test area (e.g. to be tested feature or combination of the features)</t>
        </r>
      </text>
    </comment>
    <comment ref="E2" authorId="3" shapeId="0" xr:uid="{00000000-0006-0000-03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3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3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300-000007000000}">
      <text>
        <r>
          <rPr>
            <sz val="10"/>
            <color indexed="81"/>
            <rFont val="Segoe UI"/>
            <family val="2"/>
          </rPr>
          <t>Explicit assignment between "Actions" and "Expected Results" shall be given.</t>
        </r>
      </text>
    </comment>
    <comment ref="I2" authorId="1" shapeId="0" xr:uid="{00000000-0006-0000-03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3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3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3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3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65550125-E94D-47EE-BB13-9208E6E657C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300-00000E000000}">
      <text>
        <r>
          <rPr>
            <sz val="10"/>
            <color indexed="81"/>
            <rFont val="Segoe UI"/>
            <family val="2"/>
          </rPr>
          <t>e.g. explanation of test result, name of Dat-File….</t>
        </r>
      </text>
    </comment>
  </commentList>
</comments>
</file>

<file path=xl/sharedStrings.xml><?xml version="1.0" encoding="utf-8"?>
<sst xmlns="http://schemas.openxmlformats.org/spreadsheetml/2006/main" count="353" uniqueCount="184">
  <si>
    <t>General Information</t>
  </si>
  <si>
    <t xml:space="preserve">Version </t>
  </si>
  <si>
    <t>Change Description</t>
  </si>
  <si>
    <t>Applied test method</t>
  </si>
  <si>
    <t>Specification Author and date</t>
  </si>
  <si>
    <t>Test case name (optional)</t>
  </si>
  <si>
    <t>Test area
(optional)</t>
  </si>
  <si>
    <t>Systemconstant
configuration 
(optional)</t>
  </si>
  <si>
    <t>Test case ID</t>
  </si>
  <si>
    <t>Pre-Condition
(Preparation)</t>
  </si>
  <si>
    <t>Expected Results</t>
  </si>
  <si>
    <t>Details of test results (only for manual test execution, optional)</t>
  </si>
  <si>
    <t>Test enviroment
(e.g. base PVER, labcar name)</t>
  </si>
  <si>
    <t>Configuration 
(if not assigned to test case)</t>
  </si>
  <si>
    <t>Test Conductor and date</t>
  </si>
  <si>
    <t>Specification</t>
  </si>
  <si>
    <t>Execution
(relevant for manual execution)</t>
  </si>
  <si>
    <t>TPT - Time Partition Testing</t>
  </si>
  <si>
    <t>https://connect.bosch.com/communities/service/html/communitystart?communityUuid=02a72022-a994-4fa1-b98b-5e98bdf45813</t>
  </si>
  <si>
    <t>Minimum test environment</t>
  </si>
  <si>
    <t>Comments</t>
  </si>
  <si>
    <t>Actions / Stimuli
(Description of Procedure)</t>
  </si>
  <si>
    <t>RQONE01192209</t>
  </si>
  <si>
    <t>Test Case Status (optional)</t>
  </si>
  <si>
    <t>Design Identifier 
(Link to Design-Doc)</t>
  </si>
  <si>
    <r>
      <t xml:space="preserve">Test Specification
</t>
    </r>
    <r>
      <rPr>
        <sz val="14"/>
        <rFont val="Arial"/>
        <family val="2"/>
      </rPr>
      <t>for planning and documentation of UT</t>
    </r>
  </si>
  <si>
    <t>Off</t>
  </si>
  <si>
    <t>On</t>
  </si>
  <si>
    <t xml:space="preserve">SCR Heating Status </t>
  </si>
  <si>
    <t>Expected Result (Actions)</t>
  </si>
  <si>
    <t>FALSE</t>
  </si>
  <si>
    <t>TRUE</t>
  </si>
  <si>
    <t>SCR Heating status On</t>
  </si>
  <si>
    <t>SCR Heaters released</t>
  </si>
  <si>
    <t>SCR Heating Plausible</t>
  </si>
  <si>
    <t>SCR Heating Desired Active</t>
  </si>
  <si>
    <t>TC102.4</t>
  </si>
  <si>
    <t>TC102.3</t>
  </si>
  <si>
    <t>TC102.2</t>
  </si>
  <si>
    <t>TC102.1</t>
  </si>
  <si>
    <t>Conditions</t>
  </si>
  <si>
    <t>Table 2.1</t>
  </si>
  <si>
    <t xml:space="preserve">Explanation of the table for DT   </t>
  </si>
  <si>
    <t>TCXX</t>
  </si>
  <si>
    <t xml:space="preserve"> (600, 6000]</t>
  </si>
  <si>
    <t>EC_09</t>
  </si>
  <si>
    <t>(40,600]</t>
  </si>
  <si>
    <t>EC_08</t>
  </si>
  <si>
    <t>[0,40]</t>
  </si>
  <si>
    <t>EC_07</t>
  </si>
  <si>
    <t>Description</t>
  </si>
  <si>
    <t>Representing Value \ Boundary Value</t>
  </si>
  <si>
    <t>Equivalence Class</t>
  </si>
  <si>
    <t>ID</t>
  </si>
  <si>
    <t>Engine Speed</t>
  </si>
  <si>
    <t>Item Description</t>
  </si>
  <si>
    <t>Epm_nEng</t>
  </si>
  <si>
    <t>Item for Analysis</t>
  </si>
  <si>
    <t>Iteration over Equivalence Classes \ Boundary Value Analysis</t>
  </si>
  <si>
    <t>Method Description</t>
  </si>
  <si>
    <t>Table 1.2</t>
  </si>
  <si>
    <t xml:space="preserve">Explanation of the table for EC and BVA    </t>
  </si>
  <si>
    <t>EC_04</t>
  </si>
  <si>
    <t>EC_03</t>
  </si>
  <si>
    <t>EC_02</t>
  </si>
  <si>
    <t>EC_01</t>
  </si>
  <si>
    <t>&lt;Preferably the long name (Description) of the Item&gt;</t>
  </si>
  <si>
    <t>&lt;Name of Message, Callibration Parameter&gt;</t>
  </si>
  <si>
    <t>Table 1.1</t>
  </si>
  <si>
    <t>TC_DT_01</t>
  </si>
  <si>
    <t>Complex fixed-point chain arithmetic</t>
  </si>
  <si>
    <t>AfsP_VDPlaus.Main.CalcVolFlowAfsP</t>
  </si>
  <si>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</si>
  <si>
    <t>B2B</t>
  </si>
  <si>
    <t>SIL</t>
  </si>
  <si>
    <t>New</t>
  </si>
  <si>
    <t>The given ranges are based on releasitic min and max physical values from sensor specification.</t>
  </si>
  <si>
    <r>
      <rPr>
        <b/>
        <sz val="10"/>
        <color rgb="FF00A8B2"/>
        <rFont val="Arial"/>
        <family val="2"/>
      </rPr>
      <t>Turquoise:</t>
    </r>
    <r>
      <rPr>
        <sz val="10"/>
        <color theme="0"/>
        <rFont val="Arial"/>
        <family val="2"/>
      </rPr>
      <t xml:space="preserve"> fill in during test case specification
</t>
    </r>
    <r>
      <rPr>
        <b/>
        <sz val="10"/>
        <color rgb="FF7FD3D7"/>
        <rFont val="Arial"/>
        <family val="2"/>
      </rPr>
      <t>Pale Turquoise:</t>
    </r>
    <r>
      <rPr>
        <b/>
        <sz val="10"/>
        <color rgb="FFCFD0D1"/>
        <rFont val="Arial"/>
        <family val="2"/>
      </rPr>
      <t xml:space="preserve"> </t>
    </r>
    <r>
      <rPr>
        <sz val="10"/>
        <color theme="0"/>
        <rFont val="Arial"/>
        <family val="2"/>
      </rPr>
      <t xml:space="preserve">fill in optional during specification
</t>
    </r>
    <r>
      <rPr>
        <b/>
        <sz val="10"/>
        <color rgb="FFCB4198"/>
        <rFont val="Arial"/>
        <family val="2"/>
      </rPr>
      <t>Fuchsia:</t>
    </r>
    <r>
      <rPr>
        <sz val="10"/>
        <color rgb="FFCB4198"/>
        <rFont val="Arial"/>
        <family val="2"/>
      </rPr>
      <t xml:space="preserve"> </t>
    </r>
    <r>
      <rPr>
        <sz val="10"/>
        <color theme="0"/>
        <rFont val="Arial"/>
        <family val="2"/>
      </rPr>
      <t xml:space="preserve">fill in during/after test execution in case of manual execution.
Hint: In case of test case automation this information is present in the generated report.
</t>
    </r>
    <r>
      <rPr>
        <b/>
        <sz val="10"/>
        <color rgb="FFDC80BA"/>
        <rFont val="Arial"/>
        <family val="2"/>
      </rPr>
      <t>Pale Fuchsia:</t>
    </r>
    <r>
      <rPr>
        <sz val="10"/>
        <color rgb="FFEDC0DD"/>
        <rFont val="Arial"/>
        <family val="2"/>
      </rPr>
      <t xml:space="preserve"> </t>
    </r>
    <r>
      <rPr>
        <sz val="10"/>
        <color theme="0"/>
        <rFont val="Arial"/>
        <family val="2"/>
      </rPr>
      <t>fill in optional during/after manual execution</t>
    </r>
  </si>
  <si>
    <t>SW Unit Verification Matrix</t>
  </si>
  <si>
    <t>UT Work Instruction</t>
  </si>
  <si>
    <t>History of Template</t>
  </si>
  <si>
    <t>Editor</t>
  </si>
  <si>
    <t>1.0</t>
  </si>
  <si>
    <t>BRS3WI, MRA83WI</t>
  </si>
  <si>
    <t>- transfer content from "gptlSW_TST_URT_Specification.xltm" (V3.5) to "tlSW_TST_UT_Specification.xlsm"
- update content according new "Unit Test"
- deleted Traceability Makro, as requirement linking is not part of the UT any more
- adapt colors to Bosch Style Guide</t>
  </si>
  <si>
    <t>ALM</t>
  </si>
  <si>
    <t>- delete "to be retested on impact" column
- set default entry in the "Test result" column
- bug-fix in error-message of the requirement linking tool
- bug-fix for usage of the "Requirement Linking Button" 
- bug fix for "Test Conductor and Date" on General_Info sheet</t>
  </si>
  <si>
    <t>1.1</t>
  </si>
  <si>
    <t>1.2</t>
  </si>
  <si>
    <t>- delete additional information "only for manual test execution" at column test result
- change necessity of "Test environment" and "Configuration" on General_Info sheet</t>
  </si>
  <si>
    <t>1.3</t>
  </si>
  <si>
    <t>SPV1COB</t>
  </si>
  <si>
    <t>Test Case Planning / 
Test Case Result</t>
  </si>
  <si>
    <r>
      <rPr>
        <b/>
        <sz val="10"/>
        <color theme="0"/>
        <rFont val="Arial"/>
        <family val="2"/>
      </rPr>
      <t>Unit under test</t>
    </r>
    <r>
      <rPr>
        <sz val="10"/>
        <color theme="0"/>
        <rFont val="Arial"/>
        <family val="2"/>
      </rPr>
      <t xml:space="preserve">
(Function name of FC + Version)</t>
    </r>
  </si>
  <si>
    <t>Process and Methods</t>
  </si>
  <si>
    <t>Tools</t>
  </si>
  <si>
    <t>SEDGE</t>
  </si>
  <si>
    <t>BCU</t>
  </si>
  <si>
    <t>https://inside-docupedia.bosch.com/confluence/display/softtestkb/TPT+-+Time+Partition+Testing</t>
  </si>
  <si>
    <t>https://connect.bosch.com/communities/service/html/communitystart?communityUuid=882a2dc1-e0ee-4acf-8a7d-c2fe63be2aee</t>
  </si>
  <si>
    <t>https://connect.bosch.com/wikis/home?lang=en-us#!/wiki/W9ebdf38bacee_41e4_b5d6_94f625c11b83/page/Welcome%20to%20BCU%20Framework</t>
  </si>
  <si>
    <t>Useful Links</t>
  </si>
  <si>
    <t>SW Unit Test-Common landing page</t>
  </si>
  <si>
    <t>https://connect.bosch.com/wikis/home?lang=en-us#!/wiki/Wfe4828b1563a_4f27_876d_0864f4622ff8/page/SW%20Unit%20Test</t>
  </si>
  <si>
    <t>PS-EC Software Unit Test- Bosch Tube</t>
  </si>
  <si>
    <t>https://tube.video.bosch.com/channel/PS-EC%2BSoftware%2BUnit%2BTest/2814</t>
  </si>
  <si>
    <t>PS-EC System &amp; Software Testing Knowledge Base</t>
  </si>
  <si>
    <t>https://inside-docupedia.bosch.com/confluence/pages/viewpage.action?pageId=915847257</t>
  </si>
  <si>
    <t>PS-EC SW testing community</t>
  </si>
  <si>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</si>
  <si>
    <t>https://fe0vm04402.de.bosch.com/stages/#/workspace/19808/_vv/process/guidance/_UZYWgDNr0-GtSse8-tp1zA</t>
  </si>
  <si>
    <t>https://fe0vm04402.de.bosch.com/stages/#/workspace/19808/_vv/process/guidance/_7ocdAO_U0_GtSse8-tp1zA</t>
  </si>
  <si>
    <t xml:space="preserve">Date </t>
  </si>
  <si>
    <t>SIK5COB</t>
  </si>
  <si>
    <t>Migration from Stages6 to Stages7</t>
  </si>
  <si>
    <t>1.4</t>
  </si>
  <si>
    <t>Xu Bing(RBCD/EED5)</t>
    <phoneticPr fontId="38" type="noConversion"/>
  </si>
  <si>
    <r>
      <t xml:space="preserve">FC : </t>
    </r>
    <r>
      <rPr>
        <sz val="10"/>
        <color rgb="FFFF0000"/>
        <rFont val="Arial"/>
        <family val="2"/>
      </rPr>
      <t>ComRx_DPFC1</t>
    </r>
    <phoneticPr fontId="38" type="noConversion"/>
  </si>
  <si>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phoneticPr fontId="38" type="noConversion"/>
  </si>
  <si>
    <t>TC01</t>
    <phoneticPr fontId="38" type="noConversion"/>
  </si>
  <si>
    <t>Check Transmission of Frame DPFC1 logic</t>
    <phoneticPr fontId="38" type="noConversion"/>
  </si>
  <si>
    <t>Check Transmission of Frame DPFC1  logic</t>
    <phoneticPr fontId="38" type="noConversion"/>
  </si>
  <si>
    <t>ExBas</t>
  </si>
  <si>
    <t>HWoL</t>
  </si>
  <si>
    <t xml:space="preserve">a) DFC_st.DFC_ComDPFC1TO.bit4 = 0, DFC_st.DFC_ComDPFC1DLC.bit4= 0; DINH_stFId.FId_ComDPFC1CanErr.bit12=1      Check Com_dDPFC1Byte has the same value with CANalyzer: XX XX XX XX XX XX XX XX
b) DFC_st.DFC_ComDPFC1TO.bit4 = 1, DFC_st.DFC_ComDPFC1DLC.bit4= 0; DINH_stFId.FId_ComDPFC1CanErr.bit12=0  
c) DFC_st.DFC_ComDPFC1TO.bit4 = 0, DFC_st.DFC_ComDPFC1DLC.bit4= 1; DINH_stFId.FId_ComDPFC1CanErr.bit12=0 </t>
    <phoneticPr fontId="38" type="noConversion"/>
  </si>
  <si>
    <t>TC02_01</t>
    <phoneticPr fontId="38" type="noConversion"/>
  </si>
  <si>
    <t>Check TrapLamp Logic</t>
    <phoneticPr fontId="38" type="noConversion"/>
  </si>
  <si>
    <t>Com_stDPFLamp=2</t>
    <phoneticPr fontId="38" type="noConversion"/>
  </si>
  <si>
    <t>TC02_02</t>
    <phoneticPr fontId="38" type="noConversion"/>
  </si>
  <si>
    <t>Com_stDPFLampRx=0
Com_stDPFLamp=0</t>
    <phoneticPr fontId="38" type="noConversion"/>
  </si>
  <si>
    <t>Set DINH_stFId.FId_ComDPFC1CanErr.bit12=1,Send DPFC1 Frame CAN raw value: 0bxxxxx000 XX XX XX XX XX XX XX</t>
    <phoneticPr fontId="38" type="noConversion"/>
  </si>
  <si>
    <t>Set DINH_stFId.FId_ComDPFC1CanErr.bit12=1,Send DPFC1 Frame CAN raw value: 0bxxxxx111 XX XX XX XX XX XX XX</t>
    <phoneticPr fontId="38" type="noConversion"/>
  </si>
  <si>
    <t>Com_stDPFLampRx=7
Com_stDPFLamp=7</t>
    <phoneticPr fontId="38" type="noConversion"/>
  </si>
  <si>
    <t>TC02_03</t>
  </si>
  <si>
    <t>TC02_04</t>
  </si>
  <si>
    <t>Set DINH_stFId.FId_ComDPFC1CanErr.bit12=1,Send DPFC1 Frame CAN raw value: 0bxxxxx101 XX XX XX XX XX XX XX</t>
    <phoneticPr fontId="38" type="noConversion"/>
  </si>
  <si>
    <t>Com_stDPFLampRx=5
Com_stDPFLamp=5</t>
    <phoneticPr fontId="38" type="noConversion"/>
  </si>
  <si>
    <t>TC03_01</t>
    <phoneticPr fontId="38" type="noConversion"/>
  </si>
  <si>
    <t>Check PartTARegSt Logic</t>
    <phoneticPr fontId="38" type="noConversion"/>
  </si>
  <si>
    <t>Set DINH_stFId.FId_ComDPFC1CanErr.bit12=0,Com_stParTAReg_C=1</t>
    <phoneticPr fontId="38" type="noConversion"/>
  </si>
  <si>
    <t>Com_stParTAReg=1</t>
    <phoneticPr fontId="38" type="noConversion"/>
  </si>
  <si>
    <t>TC03_02</t>
    <phoneticPr fontId="38" type="noConversion"/>
  </si>
  <si>
    <t>Set DINH_stFId.FId_ComDPFC1CanErr.bit12=1,Send DPFC1 Frame CAN raw value: XX 0bxxxx00xx XX XX XX XX XX XX</t>
    <phoneticPr fontId="38" type="noConversion"/>
  </si>
  <si>
    <t>TC03_03</t>
    <phoneticPr fontId="38" type="noConversion"/>
  </si>
  <si>
    <t>Set DINH_stFId.FId_ComDPFC1CanErr.bit12=1,Send DPFC1 Frame CAN raw value: XX 0bxxxx11xx XX XX XX XX XX XX</t>
    <phoneticPr fontId="38" type="noConversion"/>
  </si>
  <si>
    <t>Com_stParTARegRx=0
Com_stParTAReg=0</t>
    <phoneticPr fontId="38" type="noConversion"/>
  </si>
  <si>
    <t>Com_stParTARegRx=3
Com_stParTAReg=3</t>
    <phoneticPr fontId="38" type="noConversion"/>
  </si>
  <si>
    <t>TC03_04</t>
    <phoneticPr fontId="38" type="noConversion"/>
  </si>
  <si>
    <t>Set DINH_stFId.FId_ComDPFC1CanErr.bit12=1,Send DPFC1 Frame CAN raw value: XX 0bxxxx10xx XX XX XX XX XX XX</t>
    <phoneticPr fontId="38" type="noConversion"/>
  </si>
  <si>
    <t>Com_stParTARegRx=2
Com_stParTAReg=2</t>
    <phoneticPr fontId="38" type="noConversion"/>
  </si>
  <si>
    <t>TC04_01</t>
    <phoneticPr fontId="38" type="noConversion"/>
  </si>
  <si>
    <t>Check Inhibit Switch Logic</t>
    <phoneticPr fontId="38" type="noConversion"/>
  </si>
  <si>
    <t>Set DINH_stFId.FId_ComDPFC1CanErr.bit12=0,Com_stInhibSwt_C=1</t>
    <phoneticPr fontId="38" type="noConversion"/>
  </si>
  <si>
    <t>Com_stInhibSwt=1</t>
    <phoneticPr fontId="38" type="noConversion"/>
  </si>
  <si>
    <t>TC04_02</t>
    <phoneticPr fontId="38" type="noConversion"/>
  </si>
  <si>
    <t xml:space="preserve">Set DINH_stFId.FId_ComDPFC1CanErr.bit12=1,Send DPFC1 Frame CAN raw value: XX XX 0bxxxx10xx XX XX XX XX XX </t>
    <phoneticPr fontId="38" type="noConversion"/>
  </si>
  <si>
    <t xml:space="preserve">Set DINH_stFId.FId_ComDPFC1CanErr.bit12=1,Send DPFC1 Frame CAN raw value: XX XX 0bxxxx00xx XX XX XX XX XX </t>
    <phoneticPr fontId="38" type="noConversion"/>
  </si>
  <si>
    <t>Com_stInhibSwtRx=0
Com_stInhibSwt=0</t>
    <phoneticPr fontId="38" type="noConversion"/>
  </si>
  <si>
    <t>TC04_03</t>
    <phoneticPr fontId="38" type="noConversion"/>
  </si>
  <si>
    <t xml:space="preserve">Set DINH_stFId.FId_ComDPFC1CanErr.bit12=1,Send DPFC1 Frame CAN raw value: XX XX 0bxxxx11xx XX XX XX XX XX </t>
    <phoneticPr fontId="38" type="noConversion"/>
  </si>
  <si>
    <t>Com_stInhibSwtRx=3
Com_stInhibSwt=3</t>
    <phoneticPr fontId="38" type="noConversion"/>
  </si>
  <si>
    <t>TC04_04</t>
    <phoneticPr fontId="38" type="noConversion"/>
  </si>
  <si>
    <t>Com_stInhibSwtRx=2
Com_stInhibSwt=2</t>
    <phoneticPr fontId="38" type="noConversion"/>
  </si>
  <si>
    <t>TC05_01</t>
    <phoneticPr fontId="38" type="noConversion"/>
  </si>
  <si>
    <t>Check ExhSysHighTempCmd Logic</t>
    <phoneticPr fontId="38" type="noConversion"/>
  </si>
  <si>
    <t>Set DINH_stFId.FId_ComDPFC1CanErr.bit12=0,Com_stSysHvTemp_C=1</t>
    <phoneticPr fontId="38" type="noConversion"/>
  </si>
  <si>
    <t xml:space="preserve">
Com_stSysHvTemp=1</t>
    <phoneticPr fontId="38" type="noConversion"/>
  </si>
  <si>
    <t>TC05_02</t>
    <phoneticPr fontId="38" type="noConversion"/>
  </si>
  <si>
    <t xml:space="preserve">Set DINH_stFId.FId_ComDPFC1CanErr.bit12=1,Send DPFC1 Frame CAN raw value: XX XX XX XX XX XX 0bxxx000xx XX </t>
    <phoneticPr fontId="38" type="noConversion"/>
  </si>
  <si>
    <t xml:space="preserve">
Com_stSysHvTempRx=0
Com_stSysHvTemp=0</t>
    <phoneticPr fontId="38" type="noConversion"/>
  </si>
  <si>
    <t>TC05_03</t>
    <phoneticPr fontId="38" type="noConversion"/>
  </si>
  <si>
    <t xml:space="preserve">Set DINH_stFId.FId_ComDPFC1CanErr.bit12=1,Send DPFC1 Frame CAN raw value: XX XX XX XX XX XX 0bxxx111xx XX </t>
    <phoneticPr fontId="38" type="noConversion"/>
  </si>
  <si>
    <t xml:space="preserve">
Com_stSysHvTempRx=7
Com_stSysHvTemp=7</t>
    <phoneticPr fontId="38" type="noConversion"/>
  </si>
  <si>
    <t>TC05_04</t>
    <phoneticPr fontId="38" type="noConversion"/>
  </si>
  <si>
    <t xml:space="preserve">Set DINH_stFId.FId_ComDPFC1CanErr.bit12=1,Send DPFC1 Frame CAN raw value: XX XX XX XX XX XX 0bxxx110xx XX </t>
    <phoneticPr fontId="38" type="noConversion"/>
  </si>
  <si>
    <t xml:space="preserve">
Com_stSysHvTempRx=6
Com_stSysHvTemp=6</t>
    <phoneticPr fontId="38" type="noConversion"/>
  </si>
  <si>
    <t>dSD_2</t>
    <phoneticPr fontId="38" type="noConversion"/>
  </si>
  <si>
    <t>dSD_3</t>
  </si>
  <si>
    <t>dSD_4</t>
  </si>
  <si>
    <t>dSD_5</t>
  </si>
  <si>
    <t>BattU_uTransf_CUR=12000mV &amp;&amp;
Com_stDPFC1_RXPduCtrl_C</t>
    <phoneticPr fontId="38" type="noConversion"/>
  </si>
  <si>
    <t>Set DINH_stFId.FId_ComDPFC1CanErr.bit12=0,Com_stDPFLamp_C=2</t>
    <phoneticPr fontId="38" type="noConversion"/>
  </si>
  <si>
    <t>a) Check DPFC1 Frame is sended in CANalyzer(APPL_CAN) any equilant tool with an identifier 0x18FD7C00 every 1000ms
b) Stop sending DPFC1 Frame in CANalyzer
c) Send DPFC1 Frame in CANalyzer with DLC = 4</t>
    <phoneticPr fontId="38" type="noConversion"/>
  </si>
  <si>
    <t>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</si>
</sst>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m\ yy"/>
    <numFmt numFmtId="177" formatCode="dd/mm/yyyy"/>
  </numFmts>
  <fonts count="40" x14ac:knownFonts="1">
    <font>
      <sz val="10"/>
      <name val="Arial"/>
    </font>
    <font>
      <b/>
      <sz val="10"/>
      <name val="Arial"/>
      <family val="2"/>
    </font>
    <font>
      <sz val="10"/>
      <name val="Arial"/>
      <family val="2"/>
    </font>
    <font>
      <u/>
      <sz val="10"/>
      <color indexed="12"/>
      <name val="Arial"/>
      <family val="2"/>
    </font>
    <font>
      <sz val="9"/>
      <color indexed="81"/>
      <name val="Tahoma"/>
      <family val="2"/>
    </font>
    <font>
      <b/>
      <sz val="18"/>
      <name val="Arial"/>
      <family val="2"/>
    </font>
    <font>
      <sz val="11"/>
      <color indexed="81"/>
      <name val="Tahoma"/>
      <family val="2"/>
    </font>
    <font>
      <sz val="11"/>
      <name val="Arial"/>
      <family val="2"/>
    </font>
    <font>
      <sz val="14"/>
      <name val="Arial"/>
      <family val="2"/>
    </font>
    <font>
      <sz val="9"/>
      <color indexed="81"/>
      <name val="Segoe UI"/>
      <family val="2"/>
    </font>
    <font>
      <b/>
      <sz val="10"/>
      <color indexed="42"/>
      <name val="Arial"/>
      <family val="2"/>
    </font>
    <font>
      <u/>
      <sz val="10"/>
      <color theme="10"/>
      <name val="Arial"/>
      <family val="2"/>
    </font>
    <font>
      <sz val="9"/>
      <color indexed="81"/>
      <name val="Arial"/>
      <family val="2"/>
    </font>
    <font>
      <b/>
      <sz val="9"/>
      <color indexed="81"/>
      <name val="Arial"/>
      <family val="2"/>
    </font>
    <font>
      <sz val="12"/>
      <color indexed="81"/>
      <name val="Tahoma"/>
      <family val="2"/>
    </font>
    <font>
      <sz val="9"/>
      <color rgb="FF000000"/>
      <name val="Arial"/>
      <family val="2"/>
    </font>
    <font>
      <b/>
      <sz val="10"/>
      <color indexed="81"/>
      <name val="Segoe UI"/>
      <family val="2"/>
    </font>
    <font>
      <sz val="10"/>
      <color indexed="81"/>
      <name val="Segoe UI"/>
      <family val="2"/>
    </font>
    <font>
      <b/>
      <sz val="10"/>
      <color theme="0"/>
      <name val="Arial"/>
      <family val="2"/>
    </font>
    <font>
      <sz val="10"/>
      <color theme="0"/>
      <name val="Arial"/>
      <family val="2"/>
    </font>
    <font>
      <b/>
      <sz val="10"/>
      <color rgb="FF7FD3D7"/>
      <name val="Arial"/>
      <family val="2"/>
    </font>
    <font>
      <b/>
      <sz val="10"/>
      <color rgb="FFDC80BA"/>
      <name val="Arial"/>
      <family val="2"/>
    </font>
    <font>
      <sz val="10"/>
      <color rgb="FFEDC0DD"/>
      <name val="Arial"/>
      <family val="2"/>
    </font>
    <font>
      <b/>
      <sz val="10"/>
      <color rgb="FFCFD0D1"/>
      <name val="Arial"/>
      <family val="2"/>
    </font>
    <font>
      <b/>
      <sz val="10"/>
      <color rgb="FFCB4198"/>
      <name val="Arial"/>
      <family val="2"/>
    </font>
    <font>
      <sz val="10"/>
      <color rgb="FFCB4198"/>
      <name val="Arial"/>
      <family val="2"/>
    </font>
    <font>
      <b/>
      <sz val="10"/>
      <color rgb="FF00A8B2"/>
      <name val="Arial"/>
      <family val="2"/>
    </font>
    <font>
      <b/>
      <sz val="11"/>
      <color theme="0"/>
      <name val="Arial"/>
      <family val="2"/>
    </font>
    <font>
      <b/>
      <u/>
      <sz val="10"/>
      <color theme="0"/>
      <name val="Arial"/>
      <family val="2"/>
    </font>
    <font>
      <sz val="10"/>
      <color rgb="FF000000"/>
      <name val="Arial"/>
      <family val="2"/>
    </font>
    <font>
      <b/>
      <sz val="14"/>
      <name val="Arial"/>
      <family val="2"/>
    </font>
    <font>
      <sz val="8"/>
      <name val="Arial"/>
      <family val="2"/>
    </font>
    <font>
      <b/>
      <sz val="8"/>
      <name val="Arial"/>
      <family val="2"/>
    </font>
    <font>
      <b/>
      <sz val="12"/>
      <name val="Arial"/>
      <family val="2"/>
    </font>
    <font>
      <b/>
      <sz val="10"/>
      <name val="Arial"/>
      <family val="2"/>
    </font>
    <font>
      <b/>
      <u/>
      <sz val="10"/>
      <color indexed="81"/>
      <name val="Segoe UI"/>
      <family val="2"/>
    </font>
    <font>
      <b/>
      <sz val="11"/>
      <name val="Arial"/>
      <family val="2"/>
    </font>
    <font>
      <u/>
      <sz val="11"/>
      <color theme="10"/>
      <name val="Arial"/>
      <family val="2"/>
    </font>
    <font>
      <sz val="9"/>
      <name val="宋体"/>
      <family val="3"/>
      <charset val="134"/>
    </font>
    <font>
      <sz val="10"/>
      <color rgb="FFFF0000"/>
      <name val="Arial"/>
      <family val="2"/>
    </font>
  </fonts>
  <fills count="9">
    <fill>
      <patternFill patternType="none"/>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stop position="0">
          <color rgb="FF00A8B2"/>
        </stop>
        <stop position="1">
          <color rgb="FFB90276"/>
        </stop>
      </gradient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0" fontId="2" fillId="0" borderId="0"/>
    <xf numFmtId="0" fontId="11" fillId="0" borderId="0" applyNumberFormat="0" applyFill="0" applyBorder="0" applyAlignment="0" applyProtection="0">
      <alignment vertical="top"/>
      <protection locked="0"/>
    </xf>
  </cellStyleXfs>
  <cellXfs count="179">
    <xf numFmtId="0" fontId="0" fillId="0" borderId="0" xfId="0"/>
    <xf numFmtId="0" fontId="2" fillId="0" borderId="0" xfId="2"/>
    <xf numFmtId="0" fontId="2" fillId="0" borderId="0" xfId="2" applyFont="1" applyProtection="1"/>
    <xf numFmtId="0" fontId="2" fillId="0" borderId="0" xfId="2" applyProtection="1">
      <protection locked="0"/>
    </xf>
    <xf numFmtId="0" fontId="5" fillId="0" borderId="0" xfId="2" applyFont="1" applyAlignment="1">
      <alignment horizontal="left" vertical="center"/>
    </xf>
    <xf numFmtId="0" fontId="2" fillId="0" borderId="0" xfId="2" applyAlignment="1">
      <alignment wrapText="1"/>
    </xf>
    <xf numFmtId="0" fontId="2" fillId="0" borderId="0" xfId="2" applyAlignment="1" applyProtection="1">
      <protection locked="0"/>
    </xf>
    <xf numFmtId="0" fontId="11" fillId="0" borderId="0" xfId="3" applyAlignment="1" applyProtection="1"/>
    <xf numFmtId="0" fontId="11" fillId="0" borderId="0" xfId="3" applyAlignment="1" applyProtection="1">
      <protection locked="0"/>
    </xf>
    <xf numFmtId="14" fontId="2" fillId="0" borderId="0" xfId="2" applyNumberFormat="1" applyProtection="1">
      <protection locked="0"/>
    </xf>
    <xf numFmtId="0" fontId="2" fillId="0" borderId="0" xfId="2" applyFill="1" applyBorder="1" applyAlignment="1">
      <alignment wrapText="1"/>
    </xf>
    <xf numFmtId="0" fontId="7" fillId="0" borderId="0" xfId="2" applyNumberFormat="1" applyFont="1" applyFill="1" applyBorder="1" applyAlignment="1" applyProtection="1">
      <alignment horizontal="center" vertical="center" wrapText="1"/>
      <protection locked="0"/>
    </xf>
    <xf numFmtId="0" fontId="7" fillId="0" borderId="0" xfId="2" applyNumberFormat="1" applyFont="1" applyFill="1" applyBorder="1" applyAlignment="1" applyProtection="1">
      <alignment horizontal="left" vertical="center" wrapText="1"/>
      <protection locked="0"/>
    </xf>
    <xf numFmtId="0" fontId="11" fillId="0" borderId="0" xfId="3" applyNumberFormat="1" applyFill="1" applyBorder="1" applyAlignment="1" applyProtection="1">
      <alignment horizontal="center" vertical="center" wrapText="1"/>
      <protection locked="0"/>
    </xf>
    <xf numFmtId="0" fontId="7" fillId="0" borderId="0" xfId="2"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left" vertical="center" wrapText="1"/>
      <protection locked="0"/>
    </xf>
    <xf numFmtId="0" fontId="7" fillId="0" borderId="0" xfId="2" applyFont="1" applyFill="1" applyBorder="1" applyProtection="1">
      <protection locked="0"/>
    </xf>
    <xf numFmtId="0" fontId="2" fillId="0" borderId="0" xfId="2" applyFill="1" applyBorder="1" applyProtection="1">
      <protection locked="0"/>
    </xf>
    <xf numFmtId="0" fontId="2" fillId="0" borderId="0" xfId="2" applyFill="1" applyBorder="1"/>
    <xf numFmtId="0" fontId="2" fillId="0" borderId="0" xfId="2" applyFill="1" applyBorder="1" applyAlignment="1" applyProtection="1">
      <alignment horizontal="center"/>
      <protection locked="0"/>
    </xf>
    <xf numFmtId="0" fontId="11" fillId="0" borderId="0" xfId="3" applyFill="1" applyBorder="1" applyAlignment="1" applyProtection="1">
      <alignment horizontal="center"/>
      <protection locked="0"/>
    </xf>
    <xf numFmtId="0" fontId="10" fillId="4" borderId="18" xfId="2" applyFont="1" applyFill="1" applyBorder="1" applyAlignment="1" applyProtection="1">
      <alignment horizontal="left" vertical="top" wrapText="1"/>
    </xf>
    <xf numFmtId="0" fontId="10" fillId="4" borderId="0" xfId="2" applyFont="1" applyFill="1" applyBorder="1" applyAlignment="1" applyProtection="1">
      <alignment horizontal="left" vertical="top" wrapText="1"/>
    </xf>
    <xf numFmtId="0" fontId="10" fillId="4" borderId="21" xfId="2" applyFont="1" applyFill="1" applyBorder="1" applyAlignment="1" applyProtection="1">
      <alignment horizontal="left" vertical="top" wrapText="1"/>
    </xf>
    <xf numFmtId="0" fontId="7" fillId="0" borderId="1" xfId="2"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center" vertical="center" wrapText="1"/>
      <protection locked="0"/>
    </xf>
    <xf numFmtId="0" fontId="11" fillId="0" borderId="1" xfId="3" applyNumberFormat="1" applyFill="1" applyBorder="1" applyAlignment="1" applyProtection="1">
      <alignment horizontal="center" vertical="center" wrapText="1"/>
      <protection locked="0"/>
    </xf>
    <xf numFmtId="0" fontId="2" fillId="0" borderId="0" xfId="2" applyFill="1" applyAlignment="1">
      <alignment wrapText="1"/>
    </xf>
    <xf numFmtId="0" fontId="7" fillId="0" borderId="0" xfId="2" applyFont="1" applyFill="1" applyProtection="1">
      <protection locked="0"/>
    </xf>
    <xf numFmtId="0" fontId="19" fillId="6" borderId="19" xfId="2" applyFont="1" applyFill="1" applyBorder="1" applyAlignment="1" applyProtection="1">
      <alignment horizontal="center" vertical="center" wrapText="1"/>
      <protection locked="0"/>
    </xf>
    <xf numFmtId="0" fontId="19" fillId="5" borderId="11" xfId="2" applyFont="1" applyFill="1" applyBorder="1" applyAlignment="1" applyProtection="1">
      <alignment horizontal="center" vertical="center" wrapText="1"/>
      <protection locked="0"/>
    </xf>
    <xf numFmtId="0" fontId="19" fillId="7" borderId="3" xfId="2" applyFont="1" applyFill="1" applyBorder="1" applyAlignment="1">
      <alignment horizontal="center" vertical="center" wrapText="1"/>
    </xf>
    <xf numFmtId="14" fontId="19" fillId="7" borderId="10" xfId="2" applyNumberFormat="1" applyFont="1" applyFill="1" applyBorder="1" applyAlignment="1" applyProtection="1">
      <alignment horizontal="center" vertical="center" wrapText="1"/>
      <protection locked="0"/>
    </xf>
    <xf numFmtId="14" fontId="19" fillId="6" borderId="10"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left" vertical="center" wrapText="1"/>
      <protection locked="0"/>
    </xf>
    <xf numFmtId="0" fontId="11" fillId="0" borderId="24" xfId="3" applyNumberFormat="1" applyFill="1" applyBorder="1" applyAlignment="1" applyProtection="1">
      <alignment horizontal="center" vertical="center" wrapText="1"/>
      <protection locked="0"/>
    </xf>
    <xf numFmtId="0" fontId="7" fillId="0" borderId="24" xfId="2"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left" vertical="center" wrapText="1"/>
      <protection locked="0"/>
    </xf>
    <xf numFmtId="0" fontId="27" fillId="7" borderId="25" xfId="2" applyFont="1" applyFill="1" applyBorder="1" applyAlignment="1" applyProtection="1">
      <alignment horizontal="center" vertical="center" wrapText="1"/>
    </xf>
    <xf numFmtId="0" fontId="27" fillId="3" borderId="26" xfId="2" applyFont="1" applyFill="1" applyBorder="1" applyAlignment="1" applyProtection="1">
      <alignment horizontal="center" vertical="center" wrapText="1"/>
    </xf>
    <xf numFmtId="0" fontId="27" fillId="3" borderId="27" xfId="2" applyFont="1" applyFill="1" applyBorder="1" applyAlignment="1" applyProtection="1">
      <alignment horizontal="center" vertical="center" wrapText="1"/>
    </xf>
    <xf numFmtId="0" fontId="27" fillId="7" borderId="26" xfId="2" applyFont="1" applyFill="1" applyBorder="1" applyAlignment="1" applyProtection="1">
      <alignment horizontal="center" vertical="center" wrapText="1"/>
    </xf>
    <xf numFmtId="0" fontId="28" fillId="7" borderId="28" xfId="3" applyFont="1" applyFill="1" applyBorder="1" applyAlignment="1" applyProtection="1">
      <alignment horizontal="center" vertical="center" wrapText="1"/>
    </xf>
    <xf numFmtId="0" fontId="18" fillId="3" borderId="25" xfId="2" applyFont="1" applyFill="1" applyBorder="1" applyAlignment="1" applyProtection="1">
      <alignment horizontal="center" vertical="center" wrapText="1"/>
    </xf>
    <xf numFmtId="0" fontId="27" fillId="3" borderId="25" xfId="2" applyFont="1" applyFill="1" applyBorder="1" applyAlignment="1">
      <alignment horizontal="center" vertical="center" wrapText="1"/>
    </xf>
    <xf numFmtId="0" fontId="27" fillId="3" borderId="25" xfId="2" applyFont="1" applyFill="1" applyBorder="1" applyAlignment="1" applyProtection="1">
      <alignment horizontal="center" vertical="center" wrapText="1"/>
    </xf>
    <xf numFmtId="0" fontId="27" fillId="5" borderId="25" xfId="2" applyFont="1" applyFill="1" applyBorder="1" applyAlignment="1">
      <alignment horizontal="center" vertical="center" wrapText="1"/>
    </xf>
    <xf numFmtId="0" fontId="0" fillId="0" borderId="0" xfId="0" applyAlignment="1">
      <alignment wrapText="1"/>
    </xf>
    <xf numFmtId="0" fontId="2" fillId="0" borderId="0" xfId="0" applyFont="1"/>
    <xf numFmtId="0" fontId="7" fillId="0" borderId="0" xfId="0" applyFont="1"/>
    <xf numFmtId="0" fontId="30" fillId="0" borderId="0" xfId="0" applyFont="1"/>
    <xf numFmtId="0" fontId="7" fillId="0" borderId="0" xfId="0" applyFont="1" applyAlignment="1">
      <alignment wrapText="1"/>
    </xf>
    <xf numFmtId="0" fontId="31" fillId="0" borderId="33" xfId="2" applyFont="1" applyBorder="1" applyAlignment="1">
      <alignment horizontal="center" wrapText="1"/>
    </xf>
    <xf numFmtId="0" fontId="31" fillId="0" borderId="34" xfId="2" applyFont="1" applyBorder="1" applyAlignment="1">
      <alignment horizontal="center" wrapText="1"/>
    </xf>
    <xf numFmtId="0" fontId="31" fillId="0" borderId="35" xfId="2" applyFont="1" applyBorder="1" applyAlignment="1">
      <alignment horizontal="left"/>
    </xf>
    <xf numFmtId="0" fontId="31" fillId="2" borderId="29" xfId="2" quotePrefix="1" applyFont="1" applyFill="1" applyBorder="1" applyAlignment="1">
      <alignment horizontal="center" vertical="center" wrapText="1"/>
    </xf>
    <xf numFmtId="0" fontId="31" fillId="2" borderId="1" xfId="2" quotePrefix="1" applyFont="1" applyFill="1" applyBorder="1" applyAlignment="1">
      <alignment horizontal="center" vertical="center" wrapText="1"/>
    </xf>
    <xf numFmtId="0" fontId="31" fillId="2" borderId="5" xfId="2" quotePrefix="1" applyFont="1" applyFill="1" applyBorder="1" applyAlignment="1">
      <alignment horizontal="center" vertical="center" wrapText="1"/>
    </xf>
    <xf numFmtId="0" fontId="31" fillId="0" borderId="39" xfId="2" applyFont="1" applyBorder="1" applyAlignment="1">
      <alignment horizontal="left"/>
    </xf>
    <xf numFmtId="0" fontId="31" fillId="0" borderId="3" xfId="2" applyFont="1" applyBorder="1" applyAlignment="1">
      <alignment horizontal="left"/>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32" fillId="0" borderId="7" xfId="2" applyFont="1" applyBorder="1" applyAlignment="1"/>
    <xf numFmtId="0" fontId="1" fillId="0" borderId="0" xfId="0" applyFont="1"/>
    <xf numFmtId="0" fontId="1" fillId="0" borderId="0" xfId="0" applyFont="1" applyFill="1" applyAlignment="1">
      <alignment horizontal="center"/>
    </xf>
    <xf numFmtId="0" fontId="31" fillId="0" borderId="0" xfId="2" applyFont="1" applyBorder="1" applyAlignment="1">
      <alignment horizontal="center" wrapText="1"/>
    </xf>
    <xf numFmtId="0" fontId="31" fillId="0" borderId="0" xfId="2" applyFont="1" applyBorder="1" applyAlignment="1">
      <alignment horizontal="left"/>
    </xf>
    <xf numFmtId="0" fontId="31" fillId="0" borderId="42" xfId="2" applyFont="1" applyBorder="1" applyAlignment="1">
      <alignment horizontal="center" wrapText="1"/>
    </xf>
    <xf numFmtId="0" fontId="31" fillId="0" borderId="43" xfId="2" applyFont="1" applyBorder="1" applyAlignment="1">
      <alignment horizontal="center" wrapText="1"/>
    </xf>
    <xf numFmtId="0" fontId="31" fillId="0" borderId="11" xfId="2" applyFont="1" applyBorder="1" applyAlignment="1">
      <alignment horizontal="left"/>
    </xf>
    <xf numFmtId="0" fontId="31" fillId="0" borderId="10" xfId="2" applyFont="1" applyBorder="1" applyAlignment="1">
      <alignment horizontal="center" wrapText="1"/>
    </xf>
    <xf numFmtId="0" fontId="31" fillId="0" borderId="1" xfId="2" applyFont="1" applyBorder="1" applyAlignment="1">
      <alignment horizontal="center" wrapText="1"/>
    </xf>
    <xf numFmtId="0" fontId="31" fillId="2" borderId="31" xfId="2" applyFont="1" applyFill="1" applyBorder="1" applyAlignment="1">
      <alignment horizontal="center" vertical="center" wrapText="1"/>
    </xf>
    <xf numFmtId="0" fontId="31" fillId="2" borderId="24" xfId="2" applyFont="1" applyFill="1" applyBorder="1" applyAlignment="1">
      <alignment horizontal="center" vertical="center" wrapText="1"/>
    </xf>
    <xf numFmtId="0" fontId="31" fillId="0" borderId="19" xfId="2" applyFont="1" applyBorder="1" applyAlignment="1">
      <alignment horizontal="left"/>
    </xf>
    <xf numFmtId="0" fontId="31" fillId="2" borderId="29" xfId="2" applyFont="1" applyFill="1" applyBorder="1" applyAlignment="1">
      <alignment horizontal="center" vertical="center" wrapText="1"/>
    </xf>
    <xf numFmtId="0" fontId="31" fillId="2" borderId="5" xfId="2" applyFont="1" applyFill="1" applyBorder="1" applyAlignment="1">
      <alignment horizontal="center" vertical="center" wrapText="1"/>
    </xf>
    <xf numFmtId="0" fontId="31" fillId="2" borderId="10" xfId="2" applyFont="1" applyFill="1" applyBorder="1" applyAlignment="1">
      <alignment horizontal="center" vertical="center" wrapText="1"/>
    </xf>
    <xf numFmtId="0" fontId="31" fillId="2" borderId="1" xfId="2" applyFont="1" applyFill="1" applyBorder="1" applyAlignment="1">
      <alignment horizontal="center" vertical="center" wrapText="1"/>
    </xf>
    <xf numFmtId="0" fontId="0" fillId="2" borderId="43" xfId="0" applyFill="1" applyBorder="1"/>
    <xf numFmtId="0" fontId="2" fillId="2" borderId="43" xfId="0" quotePrefix="1" applyFont="1" applyFill="1" applyBorder="1" applyAlignment="1">
      <alignment horizontal="left"/>
    </xf>
    <xf numFmtId="0" fontId="2" fillId="2" borderId="43" xfId="0" applyFont="1" applyFill="1" applyBorder="1" applyAlignment="1">
      <alignment horizontal="center"/>
    </xf>
    <xf numFmtId="0" fontId="2" fillId="2" borderId="44" xfId="2" applyNumberFormat="1" applyFill="1" applyBorder="1" applyAlignment="1" applyProtection="1">
      <alignment horizontal="left" vertical="center" wrapText="1"/>
      <protection locked="0"/>
    </xf>
    <xf numFmtId="0" fontId="0" fillId="2" borderId="1" xfId="0" applyFill="1" applyBorder="1"/>
    <xf numFmtId="0" fontId="2" fillId="2" borderId="1" xfId="0" quotePrefix="1" applyFont="1" applyFill="1" applyBorder="1" applyAlignment="1">
      <alignment horizontal="left"/>
    </xf>
    <xf numFmtId="0" fontId="2" fillId="2" borderId="1" xfId="0" applyFont="1" applyFill="1" applyBorder="1" applyAlignment="1">
      <alignment horizontal="center"/>
    </xf>
    <xf numFmtId="0" fontId="2" fillId="2" borderId="45" xfId="2" applyNumberFormat="1" applyFill="1" applyBorder="1" applyAlignment="1" applyProtection="1">
      <alignment horizontal="left" vertical="center" wrapText="1"/>
      <protection locked="0"/>
    </xf>
    <xf numFmtId="0" fontId="2" fillId="2" borderId="24" xfId="0" applyFont="1" applyFill="1" applyBorder="1"/>
    <xf numFmtId="0" fontId="2" fillId="2" borderId="24" xfId="0" quotePrefix="1" applyFont="1" applyFill="1" applyBorder="1" applyAlignment="1">
      <alignment horizontal="left"/>
    </xf>
    <xf numFmtId="0" fontId="2" fillId="2" borderId="24" xfId="0" applyFont="1" applyFill="1" applyBorder="1" applyAlignment="1">
      <alignment horizontal="center"/>
    </xf>
    <xf numFmtId="0" fontId="1" fillId="0" borderId="46" xfId="0" applyFont="1" applyBorder="1"/>
    <xf numFmtId="0" fontId="1" fillId="0" borderId="47" xfId="0" applyFont="1" applyBorder="1"/>
    <xf numFmtId="0" fontId="0" fillId="0" borderId="0" xfId="0" applyBorder="1"/>
    <xf numFmtId="0" fontId="1" fillId="0" borderId="0" xfId="0" applyFont="1" applyFill="1" applyAlignment="1"/>
    <xf numFmtId="0" fontId="0" fillId="2" borderId="0" xfId="0" applyFill="1" applyBorder="1"/>
    <xf numFmtId="0" fontId="2" fillId="2" borderId="0" xfId="0" quotePrefix="1" applyFont="1" applyFill="1" applyBorder="1"/>
    <xf numFmtId="0" fontId="2" fillId="2" borderId="0" xfId="0" applyFont="1" applyFill="1" applyBorder="1" applyAlignment="1">
      <alignment horizontal="center"/>
    </xf>
    <xf numFmtId="0" fontId="2" fillId="2" borderId="0" xfId="2" applyNumberFormat="1" applyFill="1" applyBorder="1" applyAlignment="1" applyProtection="1">
      <alignment horizontal="left" vertical="center" wrapText="1"/>
      <protection locked="0"/>
    </xf>
    <xf numFmtId="0" fontId="2" fillId="2" borderId="43" xfId="0" quotePrefix="1" applyFont="1" applyFill="1" applyBorder="1"/>
    <xf numFmtId="0" fontId="2" fillId="2" borderId="48" xfId="0" applyFont="1" applyFill="1" applyBorder="1" applyAlignment="1">
      <alignment horizontal="center"/>
    </xf>
    <xf numFmtId="0" fontId="2" fillId="2" borderId="1" xfId="0" quotePrefix="1" applyFont="1" applyFill="1" applyBorder="1"/>
    <xf numFmtId="0" fontId="2" fillId="2" borderId="4" xfId="0" applyFont="1" applyFill="1" applyBorder="1" applyAlignment="1">
      <alignment horizontal="center"/>
    </xf>
    <xf numFmtId="0" fontId="2" fillId="2" borderId="41" xfId="0" applyFont="1" applyFill="1" applyBorder="1"/>
    <xf numFmtId="0" fontId="2" fillId="2" borderId="41" xfId="0" quotePrefix="1" applyFont="1" applyFill="1" applyBorder="1"/>
    <xf numFmtId="0" fontId="2" fillId="2" borderId="52" xfId="0" applyFont="1" applyFill="1" applyBorder="1" applyAlignment="1">
      <alignment horizontal="center"/>
    </xf>
    <xf numFmtId="14" fontId="7" fillId="0" borderId="1" xfId="2" applyNumberFormat="1" applyFont="1" applyFill="1" applyBorder="1" applyAlignment="1" applyProtection="1">
      <alignment horizontal="left" vertical="top" wrapText="1"/>
      <protection locked="0"/>
    </xf>
    <xf numFmtId="0" fontId="7" fillId="0" borderId="1" xfId="2" applyFont="1" applyFill="1" applyBorder="1" applyAlignment="1" applyProtection="1">
      <alignment horizontal="left" vertical="top" wrapText="1"/>
      <protection locked="0"/>
    </xf>
    <xf numFmtId="0" fontId="29" fillId="0" borderId="0" xfId="0" quotePrefix="1" applyFont="1" applyAlignment="1">
      <alignment vertical="top" wrapText="1"/>
    </xf>
    <xf numFmtId="0" fontId="11" fillId="0" borderId="0" xfId="3" applyFont="1" applyAlignment="1" applyProtection="1"/>
    <xf numFmtId="0" fontId="33" fillId="0" borderId="0" xfId="2" applyFont="1" applyAlignment="1">
      <alignment horizontal="left" vertical="top"/>
    </xf>
    <xf numFmtId="0" fontId="2" fillId="0" borderId="0" xfId="2" applyAlignment="1">
      <alignment horizontal="left" vertical="top"/>
    </xf>
    <xf numFmtId="0" fontId="1" fillId="0" borderId="0" xfId="2" applyFont="1" applyAlignment="1">
      <alignment horizontal="left"/>
    </xf>
    <xf numFmtId="0" fontId="1" fillId="0" borderId="0" xfId="2" applyFont="1" applyAlignment="1">
      <alignment wrapText="1"/>
    </xf>
    <xf numFmtId="17" fontId="2" fillId="0" borderId="0" xfId="2" quotePrefix="1" applyNumberFormat="1" applyAlignment="1">
      <alignment horizontal="left" vertical="top"/>
    </xf>
    <xf numFmtId="14" fontId="2" fillId="0" borderId="0" xfId="2" applyNumberFormat="1" applyAlignment="1">
      <alignment vertical="top"/>
    </xf>
    <xf numFmtId="0" fontId="2" fillId="0" borderId="0" xfId="2" applyAlignment="1">
      <alignment vertical="top"/>
    </xf>
    <xf numFmtId="0" fontId="34" fillId="0" borderId="0" xfId="2" applyFont="1" applyFill="1" applyAlignment="1">
      <alignment horizontal="left"/>
    </xf>
    <xf numFmtId="0" fontId="11" fillId="0" borderId="0" xfId="3" applyAlignment="1" applyProtection="1">
      <alignment horizontal="left" vertical="top"/>
    </xf>
    <xf numFmtId="0" fontId="0" fillId="0" borderId="0" xfId="0" applyAlignment="1">
      <alignment horizontal="left" vertical="top"/>
    </xf>
    <xf numFmtId="14" fontId="2" fillId="0" borderId="0" xfId="2" applyNumberFormat="1" applyFill="1" applyAlignment="1">
      <alignment vertical="top"/>
    </xf>
    <xf numFmtId="0" fontId="2" fillId="0" borderId="0" xfId="2" applyFill="1" applyAlignment="1">
      <alignment vertical="top"/>
    </xf>
    <xf numFmtId="176" fontId="2" fillId="0" borderId="0" xfId="2" quotePrefix="1" applyNumberFormat="1" applyFill="1" applyAlignment="1">
      <alignment horizontal="left" vertical="top"/>
    </xf>
    <xf numFmtId="0" fontId="19" fillId="5" borderId="39" xfId="2" applyFont="1" applyFill="1" applyBorder="1" applyAlignment="1" applyProtection="1">
      <alignment horizontal="center" vertical="center" wrapText="1"/>
      <protection locked="0"/>
    </xf>
    <xf numFmtId="0" fontId="19" fillId="5" borderId="1" xfId="2" applyFont="1" applyFill="1" applyBorder="1" applyAlignment="1" applyProtection="1">
      <alignment horizontal="center" vertical="center" wrapText="1"/>
      <protection locked="0"/>
    </xf>
    <xf numFmtId="0" fontId="27" fillId="8" borderId="25" xfId="2" applyFont="1" applyFill="1" applyBorder="1" applyAlignment="1">
      <alignment horizontal="center" vertical="center" wrapText="1"/>
    </xf>
    <xf numFmtId="0" fontId="36" fillId="0" borderId="0" xfId="0" applyFont="1"/>
    <xf numFmtId="0" fontId="37" fillId="0" borderId="0" xfId="3" applyFont="1" applyAlignment="1" applyProtection="1"/>
    <xf numFmtId="177" fontId="2" fillId="0" borderId="0" xfId="2" applyNumberFormat="1" applyFill="1" applyAlignment="1">
      <alignment vertical="top"/>
    </xf>
    <xf numFmtId="0" fontId="29" fillId="0" borderId="0" xfId="0" applyFont="1" applyAlignment="1">
      <alignment vertical="top" wrapText="1"/>
    </xf>
    <xf numFmtId="0" fontId="19" fillId="7" borderId="1" xfId="2" applyFont="1" applyFill="1" applyBorder="1" applyAlignment="1" applyProtection="1">
      <alignment horizontal="center" vertical="center" wrapText="1"/>
      <protection locked="0"/>
    </xf>
    <xf numFmtId="0" fontId="19" fillId="6" borderId="1" xfId="2" applyFont="1" applyFill="1" applyBorder="1" applyAlignment="1" applyProtection="1">
      <alignment horizontal="center" vertical="center" wrapText="1"/>
      <protection locked="0"/>
    </xf>
    <xf numFmtId="0" fontId="19" fillId="4" borderId="14" xfId="2" applyFont="1" applyFill="1" applyBorder="1" applyAlignment="1" applyProtection="1">
      <alignment horizontal="left" vertical="top" wrapText="1"/>
    </xf>
    <xf numFmtId="0" fontId="10" fillId="4" borderId="22" xfId="2" applyFont="1" applyFill="1" applyBorder="1" applyAlignment="1" applyProtection="1">
      <alignment horizontal="left" vertical="top" wrapText="1"/>
    </xf>
    <xf numFmtId="0" fontId="10" fillId="4" borderId="23" xfId="2" applyFont="1" applyFill="1" applyBorder="1" applyAlignment="1" applyProtection="1">
      <alignment horizontal="left" vertical="top" wrapText="1"/>
    </xf>
    <xf numFmtId="0" fontId="5" fillId="0" borderId="15" xfId="2" applyFont="1" applyBorder="1" applyAlignment="1" applyProtection="1">
      <alignment horizontal="center" vertical="center" wrapText="1"/>
      <protection locked="0"/>
    </xf>
    <xf numFmtId="0" fontId="18" fillId="4" borderId="7" xfId="2" applyFont="1" applyFill="1" applyBorder="1" applyAlignment="1">
      <alignment horizontal="center" vertical="center"/>
    </xf>
    <xf numFmtId="0" fontId="18" fillId="4" borderId="6" xfId="2" applyFont="1" applyFill="1" applyBorder="1" applyAlignment="1">
      <alignment horizontal="center" vertical="center"/>
    </xf>
    <xf numFmtId="0" fontId="18" fillId="4" borderId="8" xfId="2" applyFont="1" applyFill="1" applyBorder="1" applyAlignment="1">
      <alignment horizontal="center" vertical="center"/>
    </xf>
    <xf numFmtId="0" fontId="19" fillId="7" borderId="2" xfId="2" applyFont="1" applyFill="1" applyBorder="1" applyAlignment="1" applyProtection="1">
      <alignment horizontal="center" vertical="center" wrapText="1"/>
      <protection locked="0"/>
    </xf>
    <xf numFmtId="0" fontId="19" fillId="7" borderId="9" xfId="2" applyFont="1" applyFill="1" applyBorder="1" applyAlignment="1" applyProtection="1">
      <alignment horizontal="center" vertical="center" wrapText="1"/>
      <protection locked="0"/>
    </xf>
    <xf numFmtId="0" fontId="19" fillId="5" borderId="12" xfId="2" applyFont="1" applyFill="1" applyBorder="1" applyAlignment="1" applyProtection="1">
      <alignment horizontal="left" vertical="center" wrapText="1"/>
      <protection locked="0"/>
    </xf>
    <xf numFmtId="0" fontId="19" fillId="5" borderId="13" xfId="2" applyFont="1" applyFill="1" applyBorder="1" applyAlignment="1" applyProtection="1">
      <alignment horizontal="left" vertical="center" wrapText="1"/>
      <protection locked="0"/>
    </xf>
    <xf numFmtId="0" fontId="18" fillId="4" borderId="32" xfId="2" applyFont="1" applyFill="1" applyBorder="1" applyAlignment="1">
      <alignment horizontal="center" vertical="center" textRotation="90"/>
    </xf>
    <xf numFmtId="0" fontId="18" fillId="4" borderId="20" xfId="2" applyFont="1" applyFill="1" applyBorder="1" applyAlignment="1">
      <alignment horizontal="center" vertical="center" textRotation="90"/>
    </xf>
    <xf numFmtId="0" fontId="18" fillId="4" borderId="29" xfId="2" applyFont="1" applyFill="1" applyBorder="1" applyAlignment="1" applyProtection="1">
      <alignment horizontal="center" vertical="center" textRotation="90" wrapText="1"/>
      <protection locked="0"/>
    </xf>
    <xf numFmtId="0" fontId="18" fillId="4" borderId="53" xfId="2" applyFont="1" applyFill="1" applyBorder="1" applyAlignment="1" applyProtection="1">
      <alignment horizontal="center" vertical="center" textRotation="90" wrapText="1"/>
      <protection locked="0"/>
    </xf>
    <xf numFmtId="0" fontId="18" fillId="4" borderId="30" xfId="2" applyFont="1" applyFill="1" applyBorder="1" applyAlignment="1" applyProtection="1">
      <alignment horizontal="center" vertical="center" textRotation="90" wrapText="1"/>
      <protection locked="0"/>
    </xf>
    <xf numFmtId="0" fontId="18" fillId="4" borderId="31" xfId="2" applyFont="1" applyFill="1" applyBorder="1" applyAlignment="1" applyProtection="1">
      <alignment horizontal="center" vertical="center" textRotation="90" wrapText="1"/>
      <protection locked="0"/>
    </xf>
    <xf numFmtId="0" fontId="19" fillId="5" borderId="17" xfId="2" applyFont="1" applyFill="1" applyBorder="1" applyAlignment="1" applyProtection="1">
      <alignment horizontal="left" vertical="center" wrapText="1"/>
      <protection locked="0"/>
    </xf>
    <xf numFmtId="0" fontId="19" fillId="5" borderId="20" xfId="2" applyFont="1" applyFill="1" applyBorder="1" applyAlignment="1" applyProtection="1">
      <alignment horizontal="left" vertical="center" wrapText="1"/>
      <protection locked="0"/>
    </xf>
    <xf numFmtId="0" fontId="19" fillId="5" borderId="54" xfId="2" applyFont="1" applyFill="1" applyBorder="1" applyAlignment="1" applyProtection="1">
      <alignment horizontal="left" vertical="center" wrapText="1"/>
      <protection locked="0"/>
    </xf>
    <xf numFmtId="0" fontId="19" fillId="5" borderId="9" xfId="2" applyFont="1" applyFill="1" applyBorder="1" applyAlignment="1" applyProtection="1">
      <alignment horizontal="left" vertical="center" wrapText="1"/>
      <protection locked="0"/>
    </xf>
    <xf numFmtId="0" fontId="0" fillId="0" borderId="49" xfId="0" applyBorder="1" applyAlignment="1">
      <alignment horizontal="left"/>
    </xf>
    <xf numFmtId="0" fontId="0" fillId="0" borderId="48" xfId="0" applyBorder="1" applyAlignment="1">
      <alignment horizontal="left"/>
    </xf>
    <xf numFmtId="0" fontId="2" fillId="0" borderId="16" xfId="0" applyFont="1" applyBorder="1" applyAlignment="1">
      <alignment horizontal="center"/>
    </xf>
    <xf numFmtId="0" fontId="2" fillId="0" borderId="32" xfId="0" applyFont="1" applyBorder="1" applyAlignment="1">
      <alignment horizontal="center"/>
    </xf>
    <xf numFmtId="0" fontId="1" fillId="3" borderId="0" xfId="0" applyFont="1" applyFill="1" applyAlignment="1">
      <alignment horizontal="center"/>
    </xf>
    <xf numFmtId="0" fontId="1" fillId="0" borderId="15" xfId="0" applyFont="1" applyBorder="1" applyAlignment="1">
      <alignment horizontal="left"/>
    </xf>
    <xf numFmtId="0" fontId="0" fillId="0" borderId="7" xfId="0" applyBorder="1" applyAlignment="1">
      <alignment horizontal="left"/>
    </xf>
    <xf numFmtId="0" fontId="0" fillId="0" borderId="52" xfId="0" applyBorder="1" applyAlignment="1">
      <alignment horizontal="left"/>
    </xf>
    <xf numFmtId="0" fontId="1" fillId="0" borderId="51" xfId="0" applyFont="1" applyBorder="1" applyAlignment="1">
      <alignment horizontal="center"/>
    </xf>
    <xf numFmtId="0" fontId="1" fillId="0" borderId="8" xfId="0" applyFont="1" applyBorder="1" applyAlignment="1">
      <alignment horizontal="center"/>
    </xf>
    <xf numFmtId="0" fontId="0" fillId="0" borderId="50" xfId="0" applyBorder="1" applyAlignment="1">
      <alignment horizontal="left"/>
    </xf>
    <xf numFmtId="0" fontId="0" fillId="0" borderId="4" xfId="0" applyBorder="1" applyAlignment="1">
      <alignment horizontal="left"/>
    </xf>
    <xf numFmtId="0" fontId="2" fillId="0" borderId="2"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 fillId="0" borderId="38" xfId="0" applyFont="1" applyBorder="1" applyAlignment="1">
      <alignment horizontal="left"/>
    </xf>
    <xf numFmtId="0" fontId="1" fillId="0" borderId="36" xfId="0" applyFont="1" applyBorder="1" applyAlignment="1">
      <alignment horizontal="left"/>
    </xf>
    <xf numFmtId="0" fontId="32" fillId="0" borderId="38" xfId="2" applyFont="1" applyBorder="1" applyAlignment="1">
      <alignment horizontal="left"/>
    </xf>
    <xf numFmtId="0" fontId="32" fillId="0" borderId="37" xfId="2" applyFont="1" applyBorder="1" applyAlignment="1">
      <alignment horizontal="left"/>
    </xf>
    <xf numFmtId="0" fontId="32" fillId="0" borderId="36" xfId="2" applyFont="1" applyBorder="1" applyAlignment="1">
      <alignment horizontal="left"/>
    </xf>
  </cellXfs>
  <cellStyles count="4">
    <cellStyle name="Hyperlink 2" xfId="1" xr:uid="{00000000-0005-0000-0000-000001000000}"/>
    <cellStyle name="Standard 2" xfId="2" xr:uid="{00000000-0005-0000-0000-000003000000}"/>
    <cellStyle name="常规" xfId="0" builtinId="0"/>
    <cellStyle name="超链接" xfId="3" builtinId="8"/>
  </cellStyles>
  <dxfs count="147">
    <dxf>
      <alignment horizontal="left" vertical="top"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top" textRotation="0" wrapText="1" indent="0" justifyLastLine="0" shrinkToFit="0" readingOrder="0"/>
    </dxf>
    <dxf>
      <alignment horizontal="general" vertical="top" textRotation="0" wrapText="0" indent="0" justifyLastLine="0" shrinkToFit="0" readingOrder="0"/>
    </dxf>
    <dxf>
      <numFmt numFmtId="177" formatCode="dd/mm/yyyy"/>
      <alignment horizontal="general" vertical="top" textRotation="0" wrapText="0" indent="0" justifyLastLine="0" shrinkToFit="0" readingOrder="0"/>
    </dxf>
    <dxf>
      <numFmt numFmtId="176" formatCode="mmm\ yy"/>
      <alignment horizontal="left" vertical="top"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bottom" textRotation="0" wrapText="0" indent="0" justifyLastLine="0" shrinkToFit="0" readingOrder="0"/>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mruColors>
      <color rgb="FFB90276"/>
      <color rgb="FF00A8B2"/>
      <color rgb="FFDC80BA"/>
      <color rgb="FF7FD3D7"/>
      <color rgb="FFBFE3F3"/>
      <color rgb="FFD4D7DA"/>
      <color rgb="FFFABFC5"/>
      <color rgb="FFDDEFC7"/>
      <color rgb="FFBFD5E3"/>
      <color rgb="FF008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pieChart>
        <c:varyColors val="1"/>
        <c:ser>
          <c:idx val="3"/>
          <c:order val="1"/>
          <c:spPr>
            <a:ln w="25400">
              <a:solidFill>
                <a:schemeClr val="bg1"/>
              </a:solidFill>
            </a:ln>
            <a:effectLst/>
          </c:spPr>
          <c:dPt>
            <c:idx val="0"/>
            <c:bubble3D val="0"/>
            <c:spPr>
              <a:solidFill>
                <a:srgbClr val="008ECF"/>
              </a:solidFill>
              <a:ln w="25400">
                <a:solidFill>
                  <a:schemeClr val="bg1"/>
                </a:solidFill>
              </a:ln>
              <a:effectLst/>
            </c:spPr>
            <c:extLst>
              <c:ext xmlns:c16="http://schemas.microsoft.com/office/drawing/2014/chart" uri="{C3380CC4-5D6E-409C-BE32-E72D297353CC}">
                <c16:uniqueId val="{00000075-CBA6-45D5-A1C8-2F5EFA5F60E2}"/>
              </c:ext>
            </c:extLst>
          </c:dPt>
          <c:dPt>
            <c:idx val="1"/>
            <c:bubble3D val="0"/>
            <c:spPr>
              <a:solidFill>
                <a:srgbClr val="008ECF"/>
              </a:solidFill>
              <a:ln w="25400">
                <a:solidFill>
                  <a:schemeClr val="bg1"/>
                </a:solidFill>
              </a:ln>
              <a:effectLst/>
            </c:spPr>
            <c:extLst>
              <c:ext xmlns:c16="http://schemas.microsoft.com/office/drawing/2014/chart" uri="{C3380CC4-5D6E-409C-BE32-E72D297353CC}">
                <c16:uniqueId val="{00000076-CBA6-45D5-A1C8-2F5EFA5F60E2}"/>
              </c:ext>
            </c:extLst>
          </c:dPt>
          <c:dPt>
            <c:idx val="2"/>
            <c:bubble3D val="0"/>
            <c:spPr>
              <a:solidFill>
                <a:srgbClr val="78BE20"/>
              </a:solidFill>
              <a:ln w="25400">
                <a:solidFill>
                  <a:schemeClr val="bg1"/>
                </a:solidFill>
              </a:ln>
              <a:effectLst/>
            </c:spPr>
            <c:extLst>
              <c:ext xmlns:c16="http://schemas.microsoft.com/office/drawing/2014/chart" uri="{C3380CC4-5D6E-409C-BE32-E72D297353CC}">
                <c16:uniqueId val="{00000077-CBA6-45D5-A1C8-2F5EFA5F60E2}"/>
              </c:ext>
            </c:extLst>
          </c:dPt>
          <c:dPt>
            <c:idx val="3"/>
            <c:bubble3D val="0"/>
            <c:spPr>
              <a:solidFill>
                <a:srgbClr val="EA0016"/>
              </a:solidFill>
              <a:ln w="25400">
                <a:solidFill>
                  <a:schemeClr val="bg1"/>
                </a:solidFill>
              </a:ln>
              <a:effectLst/>
            </c:spPr>
            <c:extLst>
              <c:ext xmlns:c16="http://schemas.microsoft.com/office/drawing/2014/chart" uri="{C3380CC4-5D6E-409C-BE32-E72D297353CC}">
                <c16:uniqueId val="{00000078-CBA6-45D5-A1C8-2F5EFA5F60E2}"/>
              </c:ext>
            </c:extLst>
          </c:dPt>
          <c:dPt>
            <c:idx val="4"/>
            <c:bubble3D val="0"/>
            <c:spPr>
              <a:solidFill>
                <a:srgbClr val="D4D7DA"/>
              </a:solidFill>
              <a:ln w="25400">
                <a:solidFill>
                  <a:schemeClr val="bg1"/>
                </a:solidFill>
              </a:ln>
              <a:effectLst/>
            </c:spPr>
            <c:extLst>
              <c:ext xmlns:c16="http://schemas.microsoft.com/office/drawing/2014/chart" uri="{C3380CC4-5D6E-409C-BE32-E72D297353CC}">
                <c16:uniqueId val="{00000079-CBA6-45D5-A1C8-2F5EFA5F60E2}"/>
              </c:ext>
            </c:extLst>
          </c:dPt>
          <c:dPt>
            <c:idx val="5"/>
            <c:bubble3D val="0"/>
            <c:spPr>
              <a:solidFill>
                <a:schemeClr val="accent6"/>
              </a:solidFill>
              <a:ln w="25400">
                <a:solidFill>
                  <a:schemeClr val="bg1"/>
                </a:solidFill>
              </a:ln>
              <a:effectLst/>
            </c:spPr>
            <c:extLst>
              <c:ext xmlns:c16="http://schemas.microsoft.com/office/drawing/2014/chart" uri="{C3380CC4-5D6E-409C-BE32-E72D297353CC}">
                <c16:uniqueId val="{0000007A-CBA6-45D5-A1C8-2F5EFA5F60E2}"/>
              </c:ext>
            </c:extLst>
          </c:dPt>
          <c:dPt>
            <c:idx val="6"/>
            <c:bubble3D val="0"/>
            <c:spPr>
              <a:solidFill>
                <a:schemeClr val="accent1">
                  <a:lumMod val="60000"/>
                </a:schemeClr>
              </a:solidFill>
              <a:ln w="25400">
                <a:solidFill>
                  <a:schemeClr val="bg1"/>
                </a:solidFill>
              </a:ln>
              <a:effectLst/>
            </c:spPr>
            <c:extLst>
              <c:ext xmlns:c16="http://schemas.microsoft.com/office/drawing/2014/chart" uri="{C3380CC4-5D6E-409C-BE32-E72D297353CC}">
                <c16:uniqueId val="{0000007B-CBA6-45D5-A1C8-2F5EFA5F60E2}"/>
              </c:ext>
            </c:extLst>
          </c:dPt>
          <c:dPt>
            <c:idx val="7"/>
            <c:bubble3D val="0"/>
            <c:spPr>
              <a:solidFill>
                <a:schemeClr val="accent2">
                  <a:lumMod val="60000"/>
                </a:schemeClr>
              </a:solidFill>
              <a:ln w="25400">
                <a:solidFill>
                  <a:schemeClr val="bg1"/>
                </a:solidFill>
              </a:ln>
              <a:effectLst/>
            </c:spPr>
            <c:extLst>
              <c:ext xmlns:c16="http://schemas.microsoft.com/office/drawing/2014/chart" uri="{C3380CC4-5D6E-409C-BE32-E72D297353CC}">
                <c16:uniqueId val="{0000007C-CBA6-45D5-A1C8-2F5EFA5F60E2}"/>
              </c:ext>
            </c:extLst>
          </c:dPt>
          <c:dPt>
            <c:idx val="8"/>
            <c:bubble3D val="0"/>
            <c:spPr>
              <a:solidFill>
                <a:schemeClr val="accent3">
                  <a:lumMod val="60000"/>
                </a:schemeClr>
              </a:solidFill>
              <a:ln w="25400">
                <a:solidFill>
                  <a:schemeClr val="bg1"/>
                </a:solidFill>
              </a:ln>
              <a:effectLst/>
            </c:spPr>
            <c:extLst>
              <c:ext xmlns:c16="http://schemas.microsoft.com/office/drawing/2014/chart" uri="{C3380CC4-5D6E-409C-BE32-E72D297353CC}">
                <c16:uniqueId val="{0000007D-CBA6-45D5-A1C8-2F5EFA5F60E2}"/>
              </c:ext>
            </c:extLst>
          </c:dPt>
          <c:dPt>
            <c:idx val="9"/>
            <c:bubble3D val="0"/>
            <c:spPr>
              <a:solidFill>
                <a:schemeClr val="accent4">
                  <a:lumMod val="60000"/>
                </a:schemeClr>
              </a:solidFill>
              <a:ln w="25400">
                <a:solidFill>
                  <a:schemeClr val="bg1"/>
                </a:solidFill>
              </a:ln>
              <a:effectLst/>
            </c:spPr>
            <c:extLst>
              <c:ext xmlns:c16="http://schemas.microsoft.com/office/drawing/2014/chart" uri="{C3380CC4-5D6E-409C-BE32-E72D297353CC}">
                <c16:uniqueId val="{0000007E-CBA6-45D5-A1C8-2F5EFA5F60E2}"/>
              </c:ext>
            </c:extLst>
          </c:dPt>
          <c:dPt>
            <c:idx val="10"/>
            <c:bubble3D val="0"/>
            <c:spPr>
              <a:solidFill>
                <a:schemeClr val="accent5">
                  <a:lumMod val="60000"/>
                </a:schemeClr>
              </a:solidFill>
              <a:ln w="25400">
                <a:solidFill>
                  <a:schemeClr val="bg1"/>
                </a:solidFill>
              </a:ln>
              <a:effectLst/>
            </c:spPr>
            <c:extLst>
              <c:ext xmlns:c16="http://schemas.microsoft.com/office/drawing/2014/chart" uri="{C3380CC4-5D6E-409C-BE32-E72D297353CC}">
                <c16:uniqueId val="{0000007F-CBA6-45D5-A1C8-2F5EFA5F60E2}"/>
              </c:ext>
            </c:extLst>
          </c:dPt>
          <c:dPt>
            <c:idx val="11"/>
            <c:bubble3D val="0"/>
            <c:spPr>
              <a:solidFill>
                <a:schemeClr val="accent6">
                  <a:lumMod val="60000"/>
                </a:schemeClr>
              </a:solidFill>
              <a:ln w="25400">
                <a:solidFill>
                  <a:schemeClr val="bg1"/>
                </a:solidFill>
              </a:ln>
              <a:effectLst/>
            </c:spPr>
            <c:extLst>
              <c:ext xmlns:c16="http://schemas.microsoft.com/office/drawing/2014/chart" uri="{C3380CC4-5D6E-409C-BE32-E72D297353CC}">
                <c16:uniqueId val="{00000080-CBA6-45D5-A1C8-2F5EFA5F60E2}"/>
              </c:ext>
            </c:extLst>
          </c:dPt>
          <c:dPt>
            <c:idx val="12"/>
            <c:bubble3D val="0"/>
            <c:spPr>
              <a:solidFill>
                <a:schemeClr val="accent1">
                  <a:lumMod val="80000"/>
                  <a:lumOff val="20000"/>
                </a:schemeClr>
              </a:solidFill>
              <a:ln w="25400">
                <a:solidFill>
                  <a:schemeClr val="bg1"/>
                </a:solidFill>
              </a:ln>
              <a:effectLst/>
            </c:spPr>
            <c:extLst>
              <c:ext xmlns:c16="http://schemas.microsoft.com/office/drawing/2014/chart" uri="{C3380CC4-5D6E-409C-BE32-E72D297353CC}">
                <c16:uniqueId val="{00000081-CBA6-45D5-A1C8-2F5EFA5F60E2}"/>
              </c:ext>
            </c:extLst>
          </c:dPt>
          <c:dPt>
            <c:idx val="13"/>
            <c:bubble3D val="0"/>
            <c:spPr>
              <a:solidFill>
                <a:schemeClr val="accent2">
                  <a:lumMod val="80000"/>
                  <a:lumOff val="20000"/>
                </a:schemeClr>
              </a:solidFill>
              <a:ln w="25400">
                <a:solidFill>
                  <a:schemeClr val="bg1"/>
                </a:solidFill>
              </a:ln>
              <a:effectLst/>
            </c:spPr>
            <c:extLst>
              <c:ext xmlns:c16="http://schemas.microsoft.com/office/drawing/2014/chart" uri="{C3380CC4-5D6E-409C-BE32-E72D297353CC}">
                <c16:uniqueId val="{00000082-CBA6-45D5-A1C8-2F5EFA5F60E2}"/>
              </c:ext>
            </c:extLst>
          </c:dPt>
          <c:dPt>
            <c:idx val="14"/>
            <c:bubble3D val="0"/>
            <c:spPr>
              <a:solidFill>
                <a:schemeClr val="accent3">
                  <a:lumMod val="80000"/>
                  <a:lumOff val="20000"/>
                </a:schemeClr>
              </a:solidFill>
              <a:ln w="25400">
                <a:solidFill>
                  <a:schemeClr val="bg1"/>
                </a:solidFill>
              </a:ln>
              <a:effectLst/>
            </c:spPr>
            <c:extLst>
              <c:ext xmlns:c16="http://schemas.microsoft.com/office/drawing/2014/chart" uri="{C3380CC4-5D6E-409C-BE32-E72D297353CC}">
                <c16:uniqueId val="{00000083-CBA6-45D5-A1C8-2F5EFA5F60E2}"/>
              </c:ext>
            </c:extLst>
          </c:dPt>
          <c:dPt>
            <c:idx val="15"/>
            <c:bubble3D val="0"/>
            <c:spPr>
              <a:solidFill>
                <a:schemeClr val="accent4">
                  <a:lumMod val="80000"/>
                  <a:lumOff val="20000"/>
                </a:schemeClr>
              </a:solidFill>
              <a:ln w="25400">
                <a:solidFill>
                  <a:schemeClr val="bg1"/>
                </a:solidFill>
              </a:ln>
              <a:effectLst/>
            </c:spPr>
            <c:extLst>
              <c:ext xmlns:c16="http://schemas.microsoft.com/office/drawing/2014/chart" uri="{C3380CC4-5D6E-409C-BE32-E72D297353CC}">
                <c16:uniqueId val="{00000084-CBA6-45D5-A1C8-2F5EFA5F60E2}"/>
              </c:ext>
            </c:extLst>
          </c:dPt>
          <c:dPt>
            <c:idx val="16"/>
            <c:bubble3D val="0"/>
            <c:spPr>
              <a:solidFill>
                <a:schemeClr val="accent5">
                  <a:lumMod val="80000"/>
                  <a:lumOff val="20000"/>
                </a:schemeClr>
              </a:solidFill>
              <a:ln w="25400">
                <a:solidFill>
                  <a:schemeClr val="bg1"/>
                </a:solidFill>
              </a:ln>
              <a:effectLst/>
            </c:spPr>
            <c:extLst>
              <c:ext xmlns:c16="http://schemas.microsoft.com/office/drawing/2014/chart" uri="{C3380CC4-5D6E-409C-BE32-E72D297353CC}">
                <c16:uniqueId val="{00000085-CBA6-45D5-A1C8-2F5EFA5F60E2}"/>
              </c:ext>
            </c:extLst>
          </c:dPt>
          <c:dPt>
            <c:idx val="17"/>
            <c:bubble3D val="0"/>
            <c:spPr>
              <a:solidFill>
                <a:schemeClr val="accent6">
                  <a:lumMod val="80000"/>
                  <a:lumOff val="20000"/>
                </a:schemeClr>
              </a:solidFill>
              <a:ln w="25400">
                <a:solidFill>
                  <a:schemeClr val="bg1"/>
                </a:solidFill>
              </a:ln>
              <a:effectLst/>
            </c:spPr>
            <c:extLst>
              <c:ext xmlns:c16="http://schemas.microsoft.com/office/drawing/2014/chart" uri="{C3380CC4-5D6E-409C-BE32-E72D297353CC}">
                <c16:uniqueId val="{00000086-CBA6-45D5-A1C8-2F5EFA5F60E2}"/>
              </c:ext>
            </c:extLst>
          </c:dPt>
          <c:dPt>
            <c:idx val="18"/>
            <c:bubble3D val="0"/>
            <c:spPr>
              <a:solidFill>
                <a:schemeClr val="accent1">
                  <a:lumMod val="80000"/>
                </a:schemeClr>
              </a:solidFill>
              <a:ln w="25400">
                <a:solidFill>
                  <a:schemeClr val="bg1"/>
                </a:solidFill>
              </a:ln>
              <a:effectLst/>
            </c:spPr>
            <c:extLst>
              <c:ext xmlns:c16="http://schemas.microsoft.com/office/drawing/2014/chart" uri="{C3380CC4-5D6E-409C-BE32-E72D297353CC}">
                <c16:uniqueId val="{00000087-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General_Info!$N$16:$N$20</c:f>
              <c:strCache>
                <c:ptCount val="5"/>
                <c:pt idx="0">
                  <c:v>17 Open</c:v>
                </c:pt>
                <c:pt idx="1">
                  <c:v>0 Open, externally tracked</c:v>
                </c:pt>
                <c:pt idx="2">
                  <c:v>0 Passed</c:v>
                </c:pt>
                <c:pt idx="3">
                  <c:v>0 Failed</c:v>
                </c:pt>
                <c:pt idx="4">
                  <c:v>17 Total</c:v>
                </c:pt>
              </c:strCache>
            </c:strRef>
          </c:cat>
          <c:val>
            <c:numRef>
              <c:f>General_Info!$P$16:$P$20</c:f>
              <c:numCache>
                <c:formatCode>General</c:formatCode>
                <c:ptCount val="5"/>
                <c:pt idx="0">
                  <c:v>17</c:v>
                </c:pt>
                <c:pt idx="1">
                  <c:v>0</c:v>
                </c:pt>
                <c:pt idx="2">
                  <c:v>0</c:v>
                </c:pt>
                <c:pt idx="3">
                  <c:v>0</c:v>
                </c:pt>
              </c:numCache>
            </c:numRef>
          </c:val>
          <c:extLst>
            <c:ext xmlns:c16="http://schemas.microsoft.com/office/drawing/2014/chart" uri="{C3380CC4-5D6E-409C-BE32-E72D297353CC}">
              <c16:uniqueId val="{00000074-CBA6-45D5-A1C8-2F5EFA5F60E2}"/>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2"/>
                <c:order val="0"/>
                <c:dPt>
                  <c:idx val="0"/>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CBA6-45D5-A1C8-2F5EFA5F60E2}"/>
                    </c:ext>
                  </c:extLst>
                </c:dPt>
                <c:dPt>
                  <c:idx val="1"/>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CBA6-45D5-A1C8-2F5EFA5F60E2}"/>
                    </c:ext>
                  </c:extLst>
                </c:dPt>
                <c:dPt>
                  <c:idx val="2"/>
                  <c:bubble3D val="0"/>
                  <c:spPr>
                    <a:solidFill>
                      <a:schemeClr val="bg1">
                        <a:lumMod val="9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CBA6-45D5-A1C8-2F5EFA5F60E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4-CBA6-45D5-A1C8-2F5EFA5F60E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CBA6-45D5-A1C8-2F5EFA5F60E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CBA6-45D5-A1C8-2F5EFA5F60E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CBA6-45D5-A1C8-2F5EFA5F60E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CBA6-45D5-A1C8-2F5EFA5F60E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CBA6-45D5-A1C8-2F5EFA5F60E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CBA6-45D5-A1C8-2F5EFA5F60E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CBA6-45D5-A1C8-2F5EFA5F60E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CBA6-45D5-A1C8-2F5EFA5F60E2}"/>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CBA6-45D5-A1C8-2F5EFA5F60E2}"/>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CBA6-45D5-A1C8-2F5EFA5F60E2}"/>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CBA6-45D5-A1C8-2F5EFA5F60E2}"/>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CBA6-45D5-A1C8-2F5EFA5F60E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CBA6-45D5-A1C8-2F5EFA5F60E2}"/>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CBA6-45D5-A1C8-2F5EFA5F60E2}"/>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General_Info!$N$16:$N$20</c15:sqref>
                        </c15:formulaRef>
                      </c:ext>
                    </c:extLst>
                    <c:strCache>
                      <c:ptCount val="5"/>
                      <c:pt idx="0">
                        <c:v>17 Open</c:v>
                      </c:pt>
                      <c:pt idx="1">
                        <c:v>0 Open, externally tracked</c:v>
                      </c:pt>
                      <c:pt idx="2">
                        <c:v>0 Passed</c:v>
                      </c:pt>
                      <c:pt idx="3">
                        <c:v>0 Failed</c:v>
                      </c:pt>
                      <c:pt idx="4">
                        <c:v>17 Total</c:v>
                      </c:pt>
                    </c:strCache>
                  </c:strRef>
                </c:cat>
                <c:val>
                  <c:numRef>
                    <c:extLst>
                      <c:ext uri="{02D57815-91ED-43cb-92C2-25804820EDAC}">
                        <c15:formulaRef>
                          <c15:sqref>General_Info!$O$16:$O$20</c15:sqref>
                        </c15:formulaRef>
                      </c:ext>
                    </c:extLst>
                    <c:numCache>
                      <c:formatCode>General</c:formatCode>
                      <c:ptCount val="5"/>
                    </c:numCache>
                  </c:numRef>
                </c:val>
                <c:extLst>
                  <c:ext xmlns:c16="http://schemas.microsoft.com/office/drawing/2014/chart" uri="{C3380CC4-5D6E-409C-BE32-E72D297353CC}">
                    <c16:uniqueId val="{00000060-CBA6-45D5-A1C8-2F5EFA5F60E2}"/>
                  </c:ext>
                </c:extLst>
              </c15:ser>
            </c15:filteredPieSeries>
          </c:ext>
        </c:extLst>
      </c:pieChart>
      <c:spPr>
        <a:noFill/>
        <a:ln>
          <a:noFill/>
        </a:ln>
        <a:effectLst/>
      </c:spPr>
    </c:plotArea>
    <c:legend>
      <c:legendPos val="r"/>
      <c:layout>
        <c:manualLayout>
          <c:xMode val="edge"/>
          <c:yMode val="edge"/>
          <c:x val="0.60121832085739235"/>
          <c:y val="0.449391221930592"/>
          <c:w val="0.35198266926070759"/>
          <c:h val="0.3721198070958622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2000250</xdr:colOff>
          <xdr:row>0</xdr:row>
          <xdr:rowOff>0</xdr:rowOff>
        </xdr:to>
        <xdr:grpSp>
          <xdr:nvGrpSpPr>
            <xdr:cNvPr id="13313" name="Group 1">
              <a:extLst>
                <a:ext uri="{FF2B5EF4-FFF2-40B4-BE49-F238E27FC236}">
                  <a16:creationId xmlns:a16="http://schemas.microsoft.com/office/drawing/2014/main" id="{00000000-0008-0000-0000-000001340000}"/>
                </a:ext>
              </a:extLst>
            </xdr:cNvPr>
            <xdr:cNvGrpSpPr>
              <a:grpSpLocks/>
            </xdr:cNvGrpSpPr>
          </xdr:nvGrpSpPr>
          <xdr:grpSpPr bwMode="auto">
            <a:xfrm>
              <a:off x="5490259" y="0"/>
              <a:ext cx="1824355" cy="0"/>
              <a:chOff x="194" y="0"/>
              <a:chExt cx="5122994" cy="0"/>
            </a:xfrm>
          </xdr:grpSpPr>
          <xdr:sp macro="" textlink="">
            <xdr:nvSpPr>
              <xdr:cNvPr id="13314" name="CheckBox21"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5123110" y="0"/>
                <a:ext cx="78" cy="0"/>
              </a:xfrm>
              <a:prstGeom prst="rect">
                <a:avLst/>
              </a:prstGeom>
              <a:noFill/>
              <a:ln>
                <a:noFill/>
              </a:ln>
              <a:extLst>
                <a:ext uri="{91240B29-F687-4F45-9708-019B960494DF}">
                  <a14:hiddenLine w="9525">
                    <a:noFill/>
                    <a:miter lim="800000"/>
                    <a:headEnd/>
                    <a:tailEnd/>
                  </a14:hiddenLine>
                </a:ext>
              </a:extLst>
            </xdr:spPr>
          </xdr:sp>
          <xdr:sp macro="" textlink="">
            <xdr:nvSpPr>
              <xdr:cNvPr id="13315" name="CheckBox22"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194" y="0"/>
                <a:ext cx="137"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6</xdr:col>
      <xdr:colOff>182217</xdr:colOff>
      <xdr:row>2</xdr:row>
      <xdr:rowOff>49695</xdr:rowOff>
    </xdr:from>
    <xdr:to>
      <xdr:col>13</xdr:col>
      <xdr:colOff>372716</xdr:colOff>
      <xdr:row>7</xdr:row>
      <xdr:rowOff>200438</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2038350</xdr:colOff>
          <xdr:row>3</xdr:row>
          <xdr:rowOff>527050</xdr:rowOff>
        </xdr:from>
        <xdr:to>
          <xdr:col>2</xdr:col>
          <xdr:colOff>2336800</xdr:colOff>
          <xdr:row>4</xdr:row>
          <xdr:rowOff>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0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6</xdr:row>
          <xdr:rowOff>527050</xdr:rowOff>
        </xdr:from>
        <xdr:to>
          <xdr:col>2</xdr:col>
          <xdr:colOff>2336800</xdr:colOff>
          <xdr:row>7</xdr:row>
          <xdr:rowOff>0</xdr:rowOff>
        </xdr:to>
        <xdr:sp macro="" textlink="">
          <xdr:nvSpPr>
            <xdr:cNvPr id="13389" name="Button 77" hidden="1">
              <a:extLst>
                <a:ext uri="{63B3BB69-23CF-44E3-9099-C40C66FF867C}">
                  <a14:compatExt spid="_x0000_s13389"/>
                </a:ext>
                <a:ext uri="{FF2B5EF4-FFF2-40B4-BE49-F238E27FC236}">
                  <a16:creationId xmlns:a16="http://schemas.microsoft.com/office/drawing/2014/main" id="{00000000-0008-0000-0000-00004D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3</xdr:row>
          <xdr:rowOff>488950</xdr:rowOff>
        </xdr:from>
        <xdr:to>
          <xdr:col>3</xdr:col>
          <xdr:colOff>1765300</xdr:colOff>
          <xdr:row>4</xdr:row>
          <xdr:rowOff>0</xdr:rowOff>
        </xdr:to>
        <xdr:sp macro="" textlink="">
          <xdr:nvSpPr>
            <xdr:cNvPr id="13390" name="Button 78" hidden="1">
              <a:extLst>
                <a:ext uri="{63B3BB69-23CF-44E3-9099-C40C66FF867C}">
                  <a14:compatExt spid="_x0000_s13390"/>
                </a:ext>
                <a:ext uri="{FF2B5EF4-FFF2-40B4-BE49-F238E27FC236}">
                  <a16:creationId xmlns:a16="http://schemas.microsoft.com/office/drawing/2014/main" id="{00000000-0008-0000-0000-00004E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6</xdr:row>
          <xdr:rowOff>488950</xdr:rowOff>
        </xdr:from>
        <xdr:to>
          <xdr:col>3</xdr:col>
          <xdr:colOff>1765300</xdr:colOff>
          <xdr:row>7</xdr:row>
          <xdr:rowOff>0</xdr:rowOff>
        </xdr:to>
        <xdr:sp macro="" textlink="">
          <xdr:nvSpPr>
            <xdr:cNvPr id="13391" name="Button 79" hidden="1">
              <a:extLst>
                <a:ext uri="{63B3BB69-23CF-44E3-9099-C40C66FF867C}">
                  <a14:compatExt spid="_x0000_s13391"/>
                </a:ext>
                <a:ext uri="{FF2B5EF4-FFF2-40B4-BE49-F238E27FC236}">
                  <a16:creationId xmlns:a16="http://schemas.microsoft.com/office/drawing/2014/main" id="{00000000-0008-0000-0000-00004F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1060450</xdr:colOff>
          <xdr:row>7</xdr:row>
          <xdr:rowOff>203200</xdr:rowOff>
        </xdr:from>
        <xdr:to>
          <xdr:col>3</xdr:col>
          <xdr:colOff>1765300</xdr:colOff>
          <xdr:row>7</xdr:row>
          <xdr:rowOff>450850</xdr:rowOff>
        </xdr:to>
        <xdr:sp macro="" textlink="">
          <xdr:nvSpPr>
            <xdr:cNvPr id="13393" name="Button 81" hidden="1">
              <a:extLst>
                <a:ext uri="{63B3BB69-23CF-44E3-9099-C40C66FF867C}">
                  <a14:compatExt spid="_x0000_s13393"/>
                </a:ext>
                <a:ext uri="{FF2B5EF4-FFF2-40B4-BE49-F238E27FC236}">
                  <a16:creationId xmlns:a16="http://schemas.microsoft.com/office/drawing/2014/main" id="{00000000-0008-0000-0000-00005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No Unit Test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200-000002000000}"/>
                </a:ext>
              </a:extLst>
            </xdr:cNvPr>
            <xdr:cNvGrpSpPr>
              <a:grpSpLocks/>
            </xdr:cNvGrpSpPr>
          </xdr:nvGrpSpPr>
          <xdr:grpSpPr bwMode="auto">
            <a:xfrm>
              <a:off x="6675914" y="0"/>
              <a:ext cx="1970405" cy="0"/>
              <a:chOff x="136" y="0"/>
              <a:chExt cx="7339013" cy="0"/>
            </a:xfrm>
          </xdr:grpSpPr>
          <xdr:sp macro="" textlink="">
            <xdr:nvSpPr>
              <xdr:cNvPr id="22544" name="CheckBox21"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7339071" y="0"/>
                <a:ext cx="78" cy="0"/>
              </a:xfrm>
              <a:prstGeom prst="rect">
                <a:avLst/>
              </a:prstGeom>
              <a:noFill/>
              <a:ln>
                <a:noFill/>
              </a:ln>
              <a:extLst>
                <a:ext uri="{91240B29-F687-4F45-9708-019B960494DF}">
                  <a14:hiddenLine w="9525">
                    <a:noFill/>
                    <a:miter lim="800000"/>
                    <a:headEnd/>
                    <a:tailEnd/>
                  </a14:hiddenLine>
                </a:ext>
              </a:extLst>
            </xdr:spPr>
          </xdr:sp>
          <xdr:sp macro="" textlink="">
            <xdr:nvSpPr>
              <xdr:cNvPr id="22545" name="CheckBox22"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136"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1035845</xdr:colOff>
      <xdr:row>0</xdr:row>
      <xdr:rowOff>142875</xdr:rowOff>
    </xdr:from>
    <xdr:to>
      <xdr:col>7</xdr:col>
      <xdr:colOff>1738313</xdr:colOff>
      <xdr:row>0</xdr:row>
      <xdr:rowOff>809625</xdr:rowOff>
    </xdr:to>
    <xdr:sp macro="" textlink="">
      <xdr:nvSpPr>
        <xdr:cNvPr id="5" name="Textfeld 6">
          <a:extLst>
            <a:ext uri="{FF2B5EF4-FFF2-40B4-BE49-F238E27FC236}">
              <a16:creationId xmlns:a16="http://schemas.microsoft.com/office/drawing/2014/main" id="{00000000-0008-0000-0200-000005000000}"/>
            </a:ext>
          </a:extLst>
        </xdr:cNvPr>
        <xdr:cNvSpPr txBox="1"/>
      </xdr:nvSpPr>
      <xdr:spPr>
        <a:xfrm>
          <a:off x="1178720" y="142875"/>
          <a:ext cx="966787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300">
            <a:effectLst/>
          </a:endParaRPr>
        </a:p>
        <a:p>
          <a:r>
            <a:rPr lang="de-AT" sz="1100" b="1" baseline="0">
              <a:solidFill>
                <a:schemeClr val="dk1"/>
              </a:solidFill>
              <a:effectLst/>
              <a:latin typeface="+mn-lt"/>
              <a:ea typeface="+mn-ea"/>
              <a:cs typeface="+mn-cs"/>
            </a:rPr>
            <a:t>Note: </a:t>
          </a:r>
          <a:r>
            <a:rPr lang="de-AT" sz="1100" baseline="0">
              <a:solidFill>
                <a:schemeClr val="dk1"/>
              </a:solidFill>
              <a:effectLst/>
              <a:latin typeface="+mn-lt"/>
              <a:ea typeface="+mn-ea"/>
              <a:cs typeface="+mn-cs"/>
            </a:rPr>
            <a:t>Please do not add or merge or change the ordering of the existing columns. New columns may be only added after the existing ones.</a:t>
          </a:r>
        </a:p>
        <a:p>
          <a:endParaRPr lang="en-US" sz="300">
            <a:effectLst/>
          </a:endParaRPr>
        </a:p>
        <a:p>
          <a:r>
            <a:rPr lang="de-AT" sz="1100" baseline="0">
              <a:solidFill>
                <a:schemeClr val="dk1"/>
              </a:solidFill>
              <a:effectLst/>
              <a:latin typeface="+mn-lt"/>
              <a:ea typeface="+mn-ea"/>
              <a:cs typeface="+mn-cs"/>
            </a:rPr>
            <a:t>This sheet cannot be renamed.</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300-000002000000}"/>
                </a:ext>
              </a:extLst>
            </xdr:cNvPr>
            <xdr:cNvGrpSpPr>
              <a:grpSpLocks/>
            </xdr:cNvGrpSpPr>
          </xdr:nvGrpSpPr>
          <xdr:grpSpPr bwMode="auto">
            <a:xfrm>
              <a:off x="7539327" y="0"/>
              <a:ext cx="1970405" cy="0"/>
              <a:chOff x="143" y="0"/>
              <a:chExt cx="7354694" cy="0"/>
            </a:xfrm>
          </xdr:grpSpPr>
          <xdr:sp macro="" textlink="">
            <xdr:nvSpPr>
              <xdr:cNvPr id="52225" name="CheckBox21" hidden="1">
                <a:extLst>
                  <a:ext uri="{63B3BB69-23CF-44E3-9099-C40C66FF867C}">
                    <a14:compatExt spid="_x0000_s52225"/>
                  </a:ext>
                  <a:ext uri="{FF2B5EF4-FFF2-40B4-BE49-F238E27FC236}">
                    <a16:creationId xmlns:a16="http://schemas.microsoft.com/office/drawing/2014/main" id="{00000000-0008-0000-0300-000001CC0000}"/>
                  </a:ext>
                </a:extLst>
              </xdr:cNvPr>
              <xdr:cNvSpPr/>
            </xdr:nvSpPr>
            <xdr:spPr bwMode="auto">
              <a:xfrm>
                <a:off x="7354759" y="0"/>
                <a:ext cx="78" cy="0"/>
              </a:xfrm>
              <a:prstGeom prst="rect">
                <a:avLst/>
              </a:prstGeom>
              <a:noFill/>
              <a:ln>
                <a:noFill/>
              </a:ln>
              <a:extLst>
                <a:ext uri="{91240B29-F687-4F45-9708-019B960494DF}">
                  <a14:hiddenLine w="9525">
                    <a:noFill/>
                    <a:miter lim="800000"/>
                    <a:headEnd/>
                    <a:tailEnd/>
                  </a14:hiddenLine>
                </a:ext>
              </a:extLst>
            </xdr:spPr>
          </xdr:sp>
          <xdr:sp macro="" textlink="">
            <xdr:nvSpPr>
              <xdr:cNvPr id="52226" name="CheckBox2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143"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8" totalsRowShown="0" headerRowDxfId="5" headerRowCellStyle="Standard 2">
  <autoFilter ref="A3:E8" xr:uid="{00000000-0009-0000-0100-000001000000}"/>
  <tableColumns count="5">
    <tableColumn id="1" xr3:uid="{00000000-0010-0000-0000-000001000000}" name="Version " dataDxfId="4" dataCellStyle="Standard 2"/>
    <tableColumn id="2" xr3:uid="{00000000-0010-0000-0000-000002000000}" name="Date " dataDxfId="3" dataCellStyle="Standard 2"/>
    <tableColumn id="3" xr3:uid="{00000000-0010-0000-0000-000003000000}" name="Editor" dataDxfId="2" dataCellStyle="Standard 2"/>
    <tableColumn id="4" xr3:uid="{00000000-0010-0000-0000-000004000000}" name="Change Description" dataDxfId="1"/>
    <tableColumn id="5" xr3:uid="{00000000-0010-0000-0000-000005000000}" name="ALM" dataDxfId="0"/>
  </tableColumns>
  <tableStyleInfo name="TableStyleMedium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4.xml"/><Relationship Id="rId2" Type="http://schemas.openxmlformats.org/officeDocument/2006/relationships/printerSettings" Target="../printerSettings/printerSettings2.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6.xml"/><Relationship Id="rId2" Type="http://schemas.openxmlformats.org/officeDocument/2006/relationships/printerSettings" Target="../printerSettings/printerSettings3.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3.v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tube.video.bosch.com/channel/PS-EC%2BSoftware%2BUnit%2BTest/2814" TargetMode="External"/><Relationship Id="rId3" Type="http://schemas.openxmlformats.org/officeDocument/2006/relationships/hyperlink" Target="https://inside-docupedia.bosch.com/confluence/display/softtestkb/TPT+-+Time+Partition+Testing" TargetMode="External"/><Relationship Id="rId7" Type="http://schemas.openxmlformats.org/officeDocument/2006/relationships/hyperlink" Target="https://connect.bosch.com/communities/service/html/communitystart?communityUuid=02a72022-a994-4fa1-b98b-5e98bdf45813" TargetMode="External"/><Relationship Id="rId2" Type="http://schemas.openxmlformats.org/officeDocument/2006/relationships/hyperlink" Target="https://fe0vm04402.de.bosch.com/stages/" TargetMode="External"/><Relationship Id="rId1" Type="http://schemas.openxmlformats.org/officeDocument/2006/relationships/hyperlink" Target="https://fe0vm04402.de.bosch.com/stages/" TargetMode="External"/><Relationship Id="rId6" Type="http://schemas.openxmlformats.org/officeDocument/2006/relationships/hyperlink" Target="https://connect.bosch.com/wikis/home?lang=en-us" TargetMode="External"/><Relationship Id="rId5" Type="http://schemas.openxmlformats.org/officeDocument/2006/relationships/hyperlink" Target="https://connect.bosch.com/wikis/home?lang=en-us" TargetMode="External"/><Relationship Id="rId10" Type="http://schemas.openxmlformats.org/officeDocument/2006/relationships/printerSettings" Target="../printerSettings/printerSettings5.bin"/><Relationship Id="rId4" Type="http://schemas.openxmlformats.org/officeDocument/2006/relationships/hyperlink" Target="https://connect.bosch.com/communities/service/html/communitystart?communityUuid=882a2dc1-e0ee-4acf-8a7d-c2fe63be2aee" TargetMode="External"/><Relationship Id="rId9" Type="http://schemas.openxmlformats.org/officeDocument/2006/relationships/hyperlink" Target="https://inside-docupedia.bosch.com/confluence/pages/viewpage.action?pageId=915847257"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6.bin"/><Relationship Id="rId1" Type="http://schemas.openxmlformats.org/officeDocument/2006/relationships/hyperlink" Target="https://rb-alm-05-p.de.bosch.com/ccm/web/projects/Process%20Methods%20Tools%20%28Change%20Management%2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tabColor rgb="FF7FD3D7"/>
  </sheetPr>
  <dimension ref="A1:R1235"/>
  <sheetViews>
    <sheetView showGridLines="0" topLeftCell="B1" zoomScale="130" zoomScaleNormal="130" workbookViewId="0">
      <selection activeCell="G5" sqref="G5"/>
    </sheetView>
  </sheetViews>
  <sheetFormatPr defaultColWidth="5.7265625" defaultRowHeight="12.5" x14ac:dyDescent="0.25"/>
  <cols>
    <col min="1" max="1" width="8.26953125" style="1" customWidth="1"/>
    <col min="2" max="2" width="34.7265625" style="1" customWidth="1"/>
    <col min="3" max="3" width="35.1796875" style="1" customWidth="1"/>
    <col min="4" max="4" width="26.54296875" style="1" customWidth="1"/>
    <col min="5" max="5" width="0.54296875" style="1" customWidth="1"/>
    <col min="6" max="6" width="22.81640625" style="1" customWidth="1"/>
    <col min="7" max="7" width="25.453125" style="1" customWidth="1"/>
    <col min="8" max="8" width="23" style="1" customWidth="1"/>
    <col min="9" max="13" width="5.7265625" style="1"/>
    <col min="14" max="14" width="18.26953125" style="1" customWidth="1"/>
    <col min="15" max="16384" width="5.7265625" style="1"/>
  </cols>
  <sheetData>
    <row r="1" spans="1:18" s="3" customFormat="1" ht="54.75" customHeight="1" thickBot="1" x14ac:dyDescent="0.3">
      <c r="A1" s="1"/>
      <c r="B1" s="140" t="s">
        <v>25</v>
      </c>
      <c r="C1" s="140"/>
      <c r="D1" s="140"/>
    </row>
    <row r="2" spans="1:18" s="3" customFormat="1" ht="14.25" customHeight="1" x14ac:dyDescent="0.25">
      <c r="A2" s="1"/>
      <c r="B2" s="141" t="s">
        <v>0</v>
      </c>
      <c r="C2" s="142"/>
      <c r="D2" s="143"/>
    </row>
    <row r="3" spans="1:18" s="3" customFormat="1" ht="53.25" customHeight="1" x14ac:dyDescent="0.25">
      <c r="A3" s="148" t="s">
        <v>15</v>
      </c>
      <c r="B3" s="35" t="s">
        <v>93</v>
      </c>
      <c r="C3" s="144" t="s">
        <v>117</v>
      </c>
      <c r="D3" s="145"/>
      <c r="E3" s="22"/>
      <c r="F3" s="137" t="s">
        <v>77</v>
      </c>
    </row>
    <row r="4" spans="1:18" s="3" customFormat="1" ht="60" customHeight="1" x14ac:dyDescent="0.25">
      <c r="A4" s="149"/>
      <c r="B4" s="35" t="s">
        <v>4</v>
      </c>
      <c r="C4" s="135" t="s">
        <v>116</v>
      </c>
      <c r="D4" s="36"/>
      <c r="E4" s="23"/>
      <c r="F4" s="138"/>
      <c r="L4" s="18"/>
      <c r="M4" s="18"/>
      <c r="N4" s="18"/>
      <c r="O4" s="18"/>
      <c r="P4" s="18"/>
      <c r="Q4" s="18"/>
    </row>
    <row r="5" spans="1:18" s="3" customFormat="1" ht="27.75" customHeight="1" x14ac:dyDescent="0.25">
      <c r="A5" s="150" t="s">
        <v>16</v>
      </c>
      <c r="B5" s="128" t="s">
        <v>12</v>
      </c>
      <c r="C5" s="154"/>
      <c r="D5" s="155"/>
      <c r="E5" s="23"/>
      <c r="F5" s="138"/>
      <c r="G5" s="6"/>
      <c r="H5" s="8"/>
      <c r="I5" s="6"/>
      <c r="L5" s="18"/>
      <c r="M5" s="18"/>
      <c r="N5" s="18"/>
      <c r="O5" s="18"/>
      <c r="P5" s="18"/>
      <c r="Q5" s="18"/>
    </row>
    <row r="6" spans="1:18" s="3" customFormat="1" ht="30" customHeight="1" x14ac:dyDescent="0.25">
      <c r="A6" s="151"/>
      <c r="B6" s="129" t="s">
        <v>13</v>
      </c>
      <c r="C6" s="156"/>
      <c r="D6" s="157"/>
      <c r="E6" s="23"/>
      <c r="F6" s="138"/>
      <c r="L6" s="18"/>
      <c r="M6" s="18"/>
      <c r="N6" s="18"/>
      <c r="O6" s="18"/>
      <c r="P6" s="18"/>
      <c r="Q6" s="18"/>
    </row>
    <row r="7" spans="1:18" s="3" customFormat="1" ht="60" customHeight="1" x14ac:dyDescent="0.25">
      <c r="A7" s="152"/>
      <c r="B7" s="33" t="s">
        <v>14</v>
      </c>
      <c r="C7" s="136" t="s">
        <v>116</v>
      </c>
      <c r="D7" s="37"/>
      <c r="E7" s="23"/>
      <c r="F7" s="138"/>
      <c r="L7" s="18"/>
      <c r="M7" s="18"/>
      <c r="N7" s="18"/>
      <c r="O7" s="18"/>
      <c r="P7" s="18"/>
      <c r="Q7" s="18"/>
    </row>
    <row r="8" spans="1:18" s="3" customFormat="1" ht="36.75" customHeight="1" thickBot="1" x14ac:dyDescent="0.3">
      <c r="A8" s="153"/>
      <c r="B8" s="34" t="s">
        <v>20</v>
      </c>
      <c r="C8" s="146"/>
      <c r="D8" s="147"/>
      <c r="E8" s="24"/>
      <c r="F8" s="139"/>
      <c r="L8" s="18"/>
      <c r="M8" s="18"/>
      <c r="N8" s="18"/>
      <c r="O8" s="18"/>
      <c r="P8" s="18"/>
      <c r="Q8" s="18"/>
    </row>
    <row r="9" spans="1:18" s="3" customFormat="1" x14ac:dyDescent="0.25">
      <c r="L9" s="18"/>
      <c r="M9" s="18"/>
      <c r="N9" s="18"/>
      <c r="O9" s="18"/>
      <c r="P9" s="18"/>
      <c r="Q9" s="18"/>
    </row>
    <row r="10" spans="1:18" s="3" customFormat="1" x14ac:dyDescent="0.25">
      <c r="L10" s="19"/>
      <c r="M10" s="19"/>
      <c r="N10" s="19"/>
      <c r="O10" s="19"/>
      <c r="P10" s="19"/>
      <c r="Q10" s="19"/>
    </row>
    <row r="11" spans="1:18" s="3" customFormat="1" x14ac:dyDescent="0.25">
      <c r="C11" s="9"/>
      <c r="L11" s="19"/>
      <c r="M11" s="19"/>
      <c r="N11" s="19"/>
      <c r="O11" s="19"/>
      <c r="P11" s="19"/>
      <c r="Q11" s="19"/>
    </row>
    <row r="12" spans="1:18" s="3" customFormat="1" x14ac:dyDescent="0.25"/>
    <row r="13" spans="1:18" s="3" customFormat="1" x14ac:dyDescent="0.25">
      <c r="M13" s="18"/>
      <c r="N13" s="18"/>
      <c r="O13" s="18"/>
      <c r="P13" s="18"/>
      <c r="Q13" s="18"/>
      <c r="R13" s="18"/>
    </row>
    <row r="14" spans="1:18" s="3" customFormat="1" x14ac:dyDescent="0.25">
      <c r="M14" s="18"/>
      <c r="N14" s="18"/>
      <c r="O14" s="18"/>
      <c r="P14" s="18"/>
      <c r="Q14" s="18"/>
      <c r="R14" s="18"/>
    </row>
    <row r="15" spans="1:18" s="3" customFormat="1" x14ac:dyDescent="0.25">
      <c r="M15" s="18"/>
      <c r="N15" s="18"/>
      <c r="O15" s="18"/>
      <c r="P15" s="18"/>
      <c r="Q15" s="18"/>
      <c r="R15" s="18"/>
    </row>
    <row r="16" spans="1:18" s="3" customFormat="1" x14ac:dyDescent="0.25">
      <c r="M16" s="18"/>
      <c r="N16" s="18" t="str">
        <f>(P16)&amp;" Open"</f>
        <v>17 Open</v>
      </c>
      <c r="O16" s="18"/>
      <c r="P16" s="18">
        <f>COUNTIF(Test_Specification!N:N,"OPEN")</f>
        <v>17</v>
      </c>
      <c r="Q16" s="18"/>
      <c r="R16" s="18"/>
    </row>
    <row r="17" spans="13:18" s="3" customFormat="1" x14ac:dyDescent="0.25">
      <c r="M17" s="18"/>
      <c r="N17" s="18" t="str">
        <f>(P17)&amp;" Open, externally tracked"</f>
        <v>0 Open, externally tracked</v>
      </c>
      <c r="O17" s="18"/>
      <c r="P17" s="18">
        <f>COUNTIF(Test_Specification!N:N,"OPEN - externally tracked")</f>
        <v>0</v>
      </c>
      <c r="Q17" s="18"/>
      <c r="R17" s="18"/>
    </row>
    <row r="18" spans="13:18" s="3" customFormat="1" x14ac:dyDescent="0.25">
      <c r="M18" s="18"/>
      <c r="N18" s="18" t="str">
        <f>(P18)&amp;" Passed"</f>
        <v>0 Passed</v>
      </c>
      <c r="O18" s="18"/>
      <c r="P18" s="18">
        <f>COUNTIF(Test_Specification!N:N,"PASSED")</f>
        <v>0</v>
      </c>
      <c r="Q18" s="18"/>
      <c r="R18" s="18"/>
    </row>
    <row r="19" spans="13:18" s="3" customFormat="1" x14ac:dyDescent="0.25">
      <c r="M19" s="18"/>
      <c r="N19" s="18" t="str">
        <f>(P19)&amp;" Failed"</f>
        <v>0 Failed</v>
      </c>
      <c r="O19" s="18"/>
      <c r="P19" s="18">
        <f>COUNTIF(Test_Specification!N:N,"FAILED")</f>
        <v>0</v>
      </c>
      <c r="Q19" s="18"/>
      <c r="R19" s="18"/>
    </row>
    <row r="20" spans="13:18" s="3" customFormat="1" x14ac:dyDescent="0.25">
      <c r="M20" s="18"/>
      <c r="N20" s="18" t="str">
        <f>(P16+P17+P18+P19)&amp;" Total"</f>
        <v>17 Total</v>
      </c>
      <c r="O20" s="18"/>
      <c r="P20" s="18"/>
      <c r="Q20" s="18"/>
      <c r="R20" s="18"/>
    </row>
    <row r="21" spans="13:18" s="3" customFormat="1" x14ac:dyDescent="0.25">
      <c r="M21" s="19"/>
      <c r="N21" s="19"/>
      <c r="O21" s="19"/>
      <c r="P21" s="19"/>
      <c r="Q21" s="19"/>
      <c r="R21" s="19"/>
    </row>
    <row r="22" spans="13:18" s="3" customFormat="1" x14ac:dyDescent="0.25">
      <c r="N22" s="19"/>
      <c r="O22" s="19"/>
      <c r="P22" s="19"/>
      <c r="Q22" s="19"/>
      <c r="R22" s="19"/>
    </row>
    <row r="23" spans="13:18" s="3" customFormat="1" ht="12.75" customHeight="1" x14ac:dyDescent="0.25">
      <c r="N23" s="9"/>
    </row>
    <row r="24" spans="13:18" s="3" customFormat="1" x14ac:dyDescent="0.25"/>
    <row r="25" spans="13:18" s="3" customFormat="1" x14ac:dyDescent="0.25"/>
    <row r="26" spans="13:18" s="3" customFormat="1" x14ac:dyDescent="0.25"/>
    <row r="27" spans="13:18" s="3" customFormat="1" x14ac:dyDescent="0.25"/>
    <row r="28" spans="13:18" s="3" customFormat="1" x14ac:dyDescent="0.25"/>
    <row r="29" spans="13:18" s="3" customFormat="1" x14ac:dyDescent="0.25"/>
    <row r="30" spans="13:18" s="3" customFormat="1" x14ac:dyDescent="0.25"/>
    <row r="31" spans="13:18" s="3" customFormat="1" x14ac:dyDescent="0.25"/>
    <row r="32" spans="13:18" s="3" customFormat="1" x14ac:dyDescent="0.25"/>
    <row r="33" s="3" customFormat="1" x14ac:dyDescent="0.25"/>
    <row r="34" s="3" customFormat="1" x14ac:dyDescent="0.25"/>
    <row r="35" s="3" customFormat="1" x14ac:dyDescent="0.25"/>
    <row r="36" s="3" customFormat="1" x14ac:dyDescent="0.25"/>
    <row r="37" s="3" customFormat="1" x14ac:dyDescent="0.25"/>
    <row r="38" s="3" customFormat="1" x14ac:dyDescent="0.25"/>
    <row r="39" s="3" customFormat="1" x14ac:dyDescent="0.25"/>
    <row r="40" s="3" customFormat="1" x14ac:dyDescent="0.25"/>
    <row r="41" s="3" customFormat="1" x14ac:dyDescent="0.25"/>
    <row r="42" s="3" customFormat="1" x14ac:dyDescent="0.25"/>
    <row r="43" s="3" customFormat="1" x14ac:dyDescent="0.25"/>
    <row r="44" s="3" customFormat="1" x14ac:dyDescent="0.25"/>
    <row r="45" s="3" customFormat="1" x14ac:dyDescent="0.25"/>
    <row r="46" s="3" customFormat="1" x14ac:dyDescent="0.25"/>
    <row r="47" s="3" customFormat="1" x14ac:dyDescent="0.25"/>
    <row r="48" s="3" customFormat="1" x14ac:dyDescent="0.25"/>
    <row r="49" s="3" customFormat="1" x14ac:dyDescent="0.25"/>
    <row r="50" s="3" customFormat="1" x14ac:dyDescent="0.25"/>
    <row r="51" s="3" customFormat="1" x14ac:dyDescent="0.25"/>
    <row r="52" s="3" customFormat="1" x14ac:dyDescent="0.25"/>
    <row r="53" s="3" customFormat="1" x14ac:dyDescent="0.25"/>
    <row r="54" s="3" customFormat="1" x14ac:dyDescent="0.25"/>
    <row r="55" s="3" customFormat="1" x14ac:dyDescent="0.25"/>
    <row r="56" s="3" customFormat="1" x14ac:dyDescent="0.25"/>
    <row r="57" s="3" customFormat="1" x14ac:dyDescent="0.25"/>
    <row r="58" s="3" customFormat="1" x14ac:dyDescent="0.25"/>
    <row r="59" s="3" customFormat="1" x14ac:dyDescent="0.25"/>
    <row r="60" s="3" customFormat="1" x14ac:dyDescent="0.25"/>
    <row r="61" s="3" customFormat="1" x14ac:dyDescent="0.25"/>
    <row r="62" s="3" customFormat="1" x14ac:dyDescent="0.25"/>
    <row r="63" s="3" customFormat="1" x14ac:dyDescent="0.25"/>
    <row r="64" s="3" customFormat="1" x14ac:dyDescent="0.25"/>
    <row r="65" s="3" customFormat="1" x14ac:dyDescent="0.25"/>
    <row r="66" s="3" customFormat="1" x14ac:dyDescent="0.25"/>
    <row r="67" s="3" customFormat="1" x14ac:dyDescent="0.25"/>
    <row r="68" s="3" customFormat="1" x14ac:dyDescent="0.25"/>
    <row r="69" s="3" customFormat="1" x14ac:dyDescent="0.25"/>
    <row r="70" s="3" customFormat="1" x14ac:dyDescent="0.25"/>
    <row r="71" s="3" customFormat="1" x14ac:dyDescent="0.25"/>
    <row r="72" s="3" customFormat="1" x14ac:dyDescent="0.25"/>
    <row r="73" s="3" customFormat="1" x14ac:dyDescent="0.25"/>
    <row r="74" s="3" customFormat="1" x14ac:dyDescent="0.25"/>
    <row r="75" s="3" customFormat="1" x14ac:dyDescent="0.25"/>
    <row r="76" s="3" customFormat="1" x14ac:dyDescent="0.25"/>
    <row r="77" s="3" customFormat="1" x14ac:dyDescent="0.25"/>
    <row r="78" s="3" customFormat="1" x14ac:dyDescent="0.25"/>
    <row r="79" s="3" customFormat="1" x14ac:dyDescent="0.25"/>
    <row r="80" s="3" customFormat="1" x14ac:dyDescent="0.25"/>
    <row r="81" s="3" customFormat="1" x14ac:dyDescent="0.25"/>
    <row r="82" s="3" customFormat="1" x14ac:dyDescent="0.25"/>
    <row r="83" s="3" customFormat="1" x14ac:dyDescent="0.25"/>
    <row r="84" s="3" customFormat="1" x14ac:dyDescent="0.25"/>
    <row r="85" s="3" customFormat="1" x14ac:dyDescent="0.25"/>
    <row r="86" s="3" customFormat="1" x14ac:dyDescent="0.25"/>
    <row r="87" s="3" customFormat="1" x14ac:dyDescent="0.25"/>
    <row r="88" s="3" customFormat="1" x14ac:dyDescent="0.25"/>
    <row r="89" s="3" customFormat="1" x14ac:dyDescent="0.25"/>
    <row r="90" s="3" customFormat="1" x14ac:dyDescent="0.25"/>
    <row r="91" s="3" customFormat="1" x14ac:dyDescent="0.25"/>
    <row r="92" s="3" customFormat="1" x14ac:dyDescent="0.25"/>
    <row r="93" s="3" customFormat="1" x14ac:dyDescent="0.25"/>
    <row r="94" s="3" customFormat="1" x14ac:dyDescent="0.25"/>
    <row r="95" s="3" customFormat="1" x14ac:dyDescent="0.25"/>
    <row r="96" s="3" customFormat="1" x14ac:dyDescent="0.25"/>
    <row r="97" s="3" customFormat="1" x14ac:dyDescent="0.25"/>
    <row r="98" s="3" customFormat="1" x14ac:dyDescent="0.25"/>
    <row r="99" s="3" customFormat="1" x14ac:dyDescent="0.25"/>
    <row r="100" s="3" customFormat="1" x14ac:dyDescent="0.25"/>
    <row r="101" s="3" customFormat="1" x14ac:dyDescent="0.25"/>
    <row r="102" s="3" customFormat="1" x14ac:dyDescent="0.25"/>
    <row r="103" s="3" customFormat="1" x14ac:dyDescent="0.25"/>
    <row r="104" s="3" customFormat="1" x14ac:dyDescent="0.25"/>
    <row r="105" s="3" customFormat="1" x14ac:dyDescent="0.25"/>
    <row r="106" s="3" customFormat="1" x14ac:dyDescent="0.25"/>
    <row r="107" s="3" customFormat="1" x14ac:dyDescent="0.25"/>
    <row r="108" s="3" customFormat="1" x14ac:dyDescent="0.25"/>
    <row r="109" s="3" customFormat="1" x14ac:dyDescent="0.25"/>
    <row r="110" s="3" customFormat="1" x14ac:dyDescent="0.25"/>
    <row r="111" s="3" customFormat="1" x14ac:dyDescent="0.25"/>
    <row r="112" s="3" customFormat="1" x14ac:dyDescent="0.25"/>
    <row r="113" s="3" customFormat="1" x14ac:dyDescent="0.25"/>
    <row r="114" s="3" customFormat="1" x14ac:dyDescent="0.25"/>
    <row r="115" s="3" customFormat="1" x14ac:dyDescent="0.25"/>
    <row r="116" s="3" customFormat="1" x14ac:dyDescent="0.25"/>
    <row r="117" s="3" customFormat="1" x14ac:dyDescent="0.25"/>
    <row r="118" s="3" customFormat="1" x14ac:dyDescent="0.25"/>
    <row r="119" s="3" customFormat="1" x14ac:dyDescent="0.25"/>
    <row r="120" s="3" customFormat="1" x14ac:dyDescent="0.25"/>
    <row r="121" s="3" customFormat="1" x14ac:dyDescent="0.25"/>
    <row r="122" s="3" customFormat="1" x14ac:dyDescent="0.25"/>
    <row r="123" s="3" customFormat="1" x14ac:dyDescent="0.25"/>
    <row r="124" s="3" customFormat="1" x14ac:dyDescent="0.25"/>
    <row r="125" s="3" customFormat="1" x14ac:dyDescent="0.25"/>
    <row r="126" s="3" customFormat="1" x14ac:dyDescent="0.25"/>
    <row r="127" s="3" customFormat="1" x14ac:dyDescent="0.25"/>
    <row r="128" s="3" customFormat="1" x14ac:dyDescent="0.25"/>
    <row r="129" s="3" customFormat="1" x14ac:dyDescent="0.25"/>
    <row r="130" s="3" customFormat="1" x14ac:dyDescent="0.25"/>
    <row r="131" s="3" customFormat="1" x14ac:dyDescent="0.25"/>
    <row r="132" s="3" customFormat="1" x14ac:dyDescent="0.25"/>
    <row r="133" s="3" customFormat="1" x14ac:dyDescent="0.25"/>
    <row r="134" s="3" customFormat="1" x14ac:dyDescent="0.25"/>
    <row r="135" s="3" customFormat="1" x14ac:dyDescent="0.25"/>
    <row r="136" s="3" customFormat="1" x14ac:dyDescent="0.25"/>
    <row r="137" s="3" customFormat="1" x14ac:dyDescent="0.25"/>
    <row r="138" s="3" customFormat="1" x14ac:dyDescent="0.25"/>
    <row r="139" s="3" customFormat="1" x14ac:dyDescent="0.25"/>
    <row r="140" s="3" customFormat="1" x14ac:dyDescent="0.25"/>
    <row r="141" s="3" customFormat="1" x14ac:dyDescent="0.25"/>
    <row r="142" s="3" customFormat="1" x14ac:dyDescent="0.25"/>
    <row r="143" s="3" customFormat="1" x14ac:dyDescent="0.25"/>
    <row r="144" s="3" customFormat="1" x14ac:dyDescent="0.25"/>
    <row r="145" s="3" customFormat="1" x14ac:dyDescent="0.25"/>
    <row r="146" s="3" customFormat="1" x14ac:dyDescent="0.25"/>
    <row r="147" s="3" customFormat="1" x14ac:dyDescent="0.25"/>
    <row r="148" s="3" customFormat="1" x14ac:dyDescent="0.25"/>
    <row r="149" s="3" customFormat="1" x14ac:dyDescent="0.25"/>
    <row r="150" s="3" customFormat="1" x14ac:dyDescent="0.25"/>
    <row r="151" s="3" customFormat="1" x14ac:dyDescent="0.25"/>
    <row r="152" s="3" customFormat="1" x14ac:dyDescent="0.25"/>
    <row r="153" s="3" customFormat="1" x14ac:dyDescent="0.25"/>
    <row r="154" s="3" customFormat="1" x14ac:dyDescent="0.25"/>
    <row r="155" s="3" customFormat="1" x14ac:dyDescent="0.25"/>
    <row r="156" s="3" customFormat="1" x14ac:dyDescent="0.25"/>
    <row r="157" s="3" customFormat="1" x14ac:dyDescent="0.25"/>
    <row r="158" s="3" customFormat="1" x14ac:dyDescent="0.25"/>
    <row r="159" s="3" customFormat="1" x14ac:dyDescent="0.25"/>
    <row r="160" s="3" customFormat="1" x14ac:dyDescent="0.25"/>
    <row r="161" s="3" customFormat="1" x14ac:dyDescent="0.25"/>
    <row r="162" s="3" customFormat="1" x14ac:dyDescent="0.25"/>
    <row r="163" s="3" customFormat="1" x14ac:dyDescent="0.25"/>
    <row r="164" s="3" customFormat="1" x14ac:dyDescent="0.25"/>
    <row r="165" s="3" customFormat="1" x14ac:dyDescent="0.25"/>
    <row r="166" s="3" customFormat="1" x14ac:dyDescent="0.25"/>
    <row r="167" s="3" customFormat="1" x14ac:dyDescent="0.25"/>
    <row r="168" s="3" customFormat="1" x14ac:dyDescent="0.25"/>
    <row r="169" s="3" customFormat="1" x14ac:dyDescent="0.25"/>
    <row r="170" s="3" customFormat="1" x14ac:dyDescent="0.25"/>
    <row r="171" s="3" customFormat="1" x14ac:dyDescent="0.25"/>
    <row r="172" s="3" customFormat="1" x14ac:dyDescent="0.25"/>
    <row r="173" s="3" customFormat="1" x14ac:dyDescent="0.25"/>
    <row r="174" s="3" customFormat="1" x14ac:dyDescent="0.25"/>
    <row r="175" s="3" customFormat="1" x14ac:dyDescent="0.25"/>
    <row r="176" s="3" customFormat="1" x14ac:dyDescent="0.25"/>
    <row r="177" s="3" customFormat="1" x14ac:dyDescent="0.25"/>
    <row r="178" s="3" customFormat="1" x14ac:dyDescent="0.25"/>
    <row r="179" s="3" customFormat="1" x14ac:dyDescent="0.25"/>
    <row r="180" s="3" customFormat="1" x14ac:dyDescent="0.25"/>
    <row r="181" s="3" customFormat="1" x14ac:dyDescent="0.25"/>
    <row r="182" s="3" customFormat="1" x14ac:dyDescent="0.25"/>
    <row r="183" s="3" customFormat="1" x14ac:dyDescent="0.25"/>
    <row r="184" s="3" customFormat="1" x14ac:dyDescent="0.25"/>
    <row r="185" s="3" customFormat="1" x14ac:dyDescent="0.25"/>
    <row r="186" s="3" customFormat="1" x14ac:dyDescent="0.25"/>
    <row r="187" s="3" customFormat="1" x14ac:dyDescent="0.25"/>
    <row r="188" s="3" customFormat="1" x14ac:dyDescent="0.25"/>
    <row r="189" s="3" customFormat="1" x14ac:dyDescent="0.25"/>
    <row r="190" s="3" customFormat="1" x14ac:dyDescent="0.25"/>
    <row r="191" s="3" customFormat="1" x14ac:dyDescent="0.25"/>
    <row r="192" s="3" customFormat="1" x14ac:dyDescent="0.25"/>
    <row r="193" s="3" customFormat="1" x14ac:dyDescent="0.25"/>
    <row r="194" s="3" customFormat="1" x14ac:dyDescent="0.25"/>
    <row r="195" s="3" customFormat="1" x14ac:dyDescent="0.25"/>
    <row r="196" s="3" customFormat="1" x14ac:dyDescent="0.25"/>
    <row r="197" s="3" customFormat="1" x14ac:dyDescent="0.25"/>
    <row r="198" s="3" customFormat="1" x14ac:dyDescent="0.25"/>
    <row r="199" s="3" customFormat="1" x14ac:dyDescent="0.25"/>
    <row r="200" s="3" customFormat="1" x14ac:dyDescent="0.25"/>
    <row r="201" s="3" customFormat="1" x14ac:dyDescent="0.25"/>
    <row r="202" s="3" customFormat="1" x14ac:dyDescent="0.25"/>
    <row r="203" s="3" customFormat="1" x14ac:dyDescent="0.25"/>
    <row r="204" s="3" customFormat="1" x14ac:dyDescent="0.25"/>
    <row r="205" s="3" customFormat="1" x14ac:dyDescent="0.25"/>
    <row r="206" s="3" customFormat="1" x14ac:dyDescent="0.25"/>
    <row r="207" s="3" customFormat="1" x14ac:dyDescent="0.25"/>
    <row r="208" s="3" customFormat="1" x14ac:dyDescent="0.25"/>
    <row r="209" s="3" customFormat="1" x14ac:dyDescent="0.25"/>
    <row r="210" s="3" customFormat="1" x14ac:dyDescent="0.25"/>
    <row r="211" s="3" customFormat="1" x14ac:dyDescent="0.25"/>
    <row r="212" s="3" customFormat="1" x14ac:dyDescent="0.25"/>
    <row r="213" s="3" customFormat="1" x14ac:dyDescent="0.25"/>
    <row r="214" s="3" customFormat="1" x14ac:dyDescent="0.25"/>
    <row r="215" s="3" customFormat="1" x14ac:dyDescent="0.25"/>
    <row r="216" s="3" customFormat="1" x14ac:dyDescent="0.25"/>
    <row r="217" s="3" customFormat="1" x14ac:dyDescent="0.25"/>
    <row r="218" s="3" customFormat="1" x14ac:dyDescent="0.25"/>
    <row r="219" s="3" customFormat="1" x14ac:dyDescent="0.25"/>
    <row r="220" s="3" customFormat="1" x14ac:dyDescent="0.25"/>
    <row r="221" s="3" customFormat="1" x14ac:dyDescent="0.25"/>
    <row r="222" s="3" customFormat="1" x14ac:dyDescent="0.25"/>
    <row r="223" s="3" customFormat="1" x14ac:dyDescent="0.25"/>
    <row r="224" s="3" customFormat="1" x14ac:dyDescent="0.25"/>
    <row r="225" s="3" customFormat="1" x14ac:dyDescent="0.25"/>
    <row r="226" s="3" customFormat="1" x14ac:dyDescent="0.25"/>
    <row r="227" s="3" customFormat="1" x14ac:dyDescent="0.25"/>
    <row r="228" s="3" customFormat="1" x14ac:dyDescent="0.25"/>
    <row r="229" s="3" customFormat="1" x14ac:dyDescent="0.25"/>
    <row r="230" s="3" customFormat="1" x14ac:dyDescent="0.25"/>
    <row r="231" s="3" customFormat="1" x14ac:dyDescent="0.25"/>
    <row r="232" s="3" customFormat="1" x14ac:dyDescent="0.25"/>
    <row r="233" s="3" customFormat="1" x14ac:dyDescent="0.25"/>
    <row r="234" s="3" customFormat="1" x14ac:dyDescent="0.25"/>
    <row r="235" s="3" customFormat="1" x14ac:dyDescent="0.25"/>
    <row r="236" s="3" customFormat="1" x14ac:dyDescent="0.25"/>
    <row r="237" s="3" customFormat="1" x14ac:dyDescent="0.25"/>
    <row r="238" s="3" customFormat="1" x14ac:dyDescent="0.25"/>
    <row r="239" s="3" customFormat="1" x14ac:dyDescent="0.25"/>
    <row r="240" s="3" customFormat="1" x14ac:dyDescent="0.25"/>
    <row r="241" s="3" customFormat="1" x14ac:dyDescent="0.25"/>
    <row r="242" s="3" customFormat="1" x14ac:dyDescent="0.25"/>
    <row r="243" s="3" customFormat="1" x14ac:dyDescent="0.25"/>
    <row r="244" s="3" customFormat="1" x14ac:dyDescent="0.25"/>
    <row r="245" s="3" customFormat="1" x14ac:dyDescent="0.25"/>
    <row r="246" s="3" customFormat="1" x14ac:dyDescent="0.25"/>
    <row r="247" s="3" customFormat="1" x14ac:dyDescent="0.25"/>
    <row r="248" s="3" customFormat="1" x14ac:dyDescent="0.25"/>
    <row r="249" s="3" customFormat="1" x14ac:dyDescent="0.25"/>
    <row r="250" s="3" customFormat="1" x14ac:dyDescent="0.25"/>
    <row r="251" s="3" customFormat="1" x14ac:dyDescent="0.25"/>
    <row r="252" s="3" customFormat="1" x14ac:dyDescent="0.25"/>
    <row r="253" s="3" customFormat="1" x14ac:dyDescent="0.25"/>
    <row r="254" s="3" customFormat="1" x14ac:dyDescent="0.25"/>
    <row r="255" s="3" customFormat="1" x14ac:dyDescent="0.25"/>
    <row r="256" s="3" customFormat="1" x14ac:dyDescent="0.25"/>
    <row r="257" s="3" customFormat="1" x14ac:dyDescent="0.25"/>
    <row r="258" s="3" customFormat="1" x14ac:dyDescent="0.25"/>
    <row r="259" s="3" customFormat="1" x14ac:dyDescent="0.25"/>
    <row r="260" s="3" customFormat="1" x14ac:dyDescent="0.25"/>
    <row r="261" s="3" customFormat="1" x14ac:dyDescent="0.25"/>
    <row r="262" s="3" customFormat="1" x14ac:dyDescent="0.25"/>
    <row r="263" s="3" customFormat="1" x14ac:dyDescent="0.25"/>
    <row r="264" s="3" customFormat="1" x14ac:dyDescent="0.25"/>
    <row r="265" s="3" customFormat="1" x14ac:dyDescent="0.25"/>
    <row r="266" s="3" customFormat="1" x14ac:dyDescent="0.25"/>
    <row r="267" s="3" customFormat="1" x14ac:dyDescent="0.25"/>
    <row r="268" s="3" customFormat="1" x14ac:dyDescent="0.25"/>
    <row r="269" s="3" customFormat="1" x14ac:dyDescent="0.25"/>
    <row r="270" s="3" customFormat="1" x14ac:dyDescent="0.25"/>
    <row r="271" s="3" customFormat="1" x14ac:dyDescent="0.25"/>
    <row r="272" s="3" customFormat="1" x14ac:dyDescent="0.25"/>
    <row r="273" s="3" customFormat="1" x14ac:dyDescent="0.25"/>
    <row r="274" s="3" customFormat="1" x14ac:dyDescent="0.25"/>
    <row r="275" s="3" customFormat="1" x14ac:dyDescent="0.25"/>
    <row r="276" s="3" customFormat="1" x14ac:dyDescent="0.25"/>
    <row r="277" s="3" customFormat="1" x14ac:dyDescent="0.25"/>
    <row r="278" s="3" customFormat="1" x14ac:dyDescent="0.25"/>
    <row r="279" s="3" customFormat="1" x14ac:dyDescent="0.25"/>
    <row r="280" s="3" customFormat="1" x14ac:dyDescent="0.25"/>
    <row r="281" s="3" customFormat="1" x14ac:dyDescent="0.25"/>
    <row r="282" s="3" customFormat="1" x14ac:dyDescent="0.25"/>
    <row r="283" s="3" customFormat="1" x14ac:dyDescent="0.25"/>
    <row r="284" s="3" customFormat="1" x14ac:dyDescent="0.25"/>
    <row r="285" s="3" customFormat="1" x14ac:dyDescent="0.25"/>
    <row r="286" s="3" customFormat="1" x14ac:dyDescent="0.25"/>
    <row r="287" s="3" customFormat="1" x14ac:dyDescent="0.25"/>
    <row r="288" s="3" customFormat="1" x14ac:dyDescent="0.25"/>
    <row r="289" s="3" customFormat="1" x14ac:dyDescent="0.25"/>
    <row r="290" s="3" customFormat="1" x14ac:dyDescent="0.25"/>
    <row r="291" s="3" customFormat="1" x14ac:dyDescent="0.25"/>
    <row r="292" s="3" customFormat="1" x14ac:dyDescent="0.25"/>
    <row r="293" s="3" customFormat="1" x14ac:dyDescent="0.25"/>
    <row r="294" s="3" customFormat="1" x14ac:dyDescent="0.25"/>
    <row r="295" s="3" customFormat="1" x14ac:dyDescent="0.25"/>
    <row r="296" s="3" customFormat="1" x14ac:dyDescent="0.25"/>
    <row r="297" s="3" customFormat="1" x14ac:dyDescent="0.25"/>
    <row r="298" s="3" customFormat="1" x14ac:dyDescent="0.25"/>
    <row r="299" s="3" customFormat="1" x14ac:dyDescent="0.25"/>
    <row r="300" s="3" customFormat="1" x14ac:dyDescent="0.25"/>
    <row r="301" s="3" customFormat="1" x14ac:dyDescent="0.25"/>
    <row r="302" s="3" customFormat="1" x14ac:dyDescent="0.25"/>
    <row r="303" s="3" customFormat="1" x14ac:dyDescent="0.25"/>
    <row r="304" s="3" customFormat="1" x14ac:dyDescent="0.25"/>
    <row r="305" s="3" customFormat="1" x14ac:dyDescent="0.25"/>
    <row r="306" s="3" customFormat="1" x14ac:dyDescent="0.25"/>
    <row r="307" s="3" customFormat="1" x14ac:dyDescent="0.25"/>
    <row r="308" s="3" customFormat="1" x14ac:dyDescent="0.25"/>
    <row r="309" s="3" customFormat="1" x14ac:dyDescent="0.25"/>
    <row r="310" s="3" customFormat="1" x14ac:dyDescent="0.25"/>
    <row r="311" s="3" customFormat="1" x14ac:dyDescent="0.25"/>
    <row r="312" s="3" customFormat="1" x14ac:dyDescent="0.25"/>
    <row r="313" s="3" customFormat="1" x14ac:dyDescent="0.25"/>
    <row r="314" s="3" customFormat="1" x14ac:dyDescent="0.25"/>
    <row r="315" s="3" customFormat="1" x14ac:dyDescent="0.25"/>
    <row r="316" s="3" customFormat="1" x14ac:dyDescent="0.25"/>
    <row r="317" s="3" customFormat="1" x14ac:dyDescent="0.25"/>
    <row r="318" s="3" customFormat="1" x14ac:dyDescent="0.25"/>
    <row r="319" s="3" customFormat="1" x14ac:dyDescent="0.25"/>
    <row r="320" s="3" customFormat="1" x14ac:dyDescent="0.25"/>
    <row r="321" s="3" customFormat="1" x14ac:dyDescent="0.25"/>
    <row r="322" s="3" customFormat="1" x14ac:dyDescent="0.25"/>
    <row r="323" s="3" customFormat="1" x14ac:dyDescent="0.25"/>
    <row r="324" s="3" customFormat="1" x14ac:dyDescent="0.25"/>
    <row r="325" s="3" customFormat="1" x14ac:dyDescent="0.25"/>
    <row r="326" s="3" customFormat="1" x14ac:dyDescent="0.25"/>
    <row r="327" s="3" customFormat="1" x14ac:dyDescent="0.25"/>
    <row r="328" s="3" customFormat="1" x14ac:dyDescent="0.25"/>
    <row r="329" s="3" customFormat="1" x14ac:dyDescent="0.25"/>
    <row r="330" s="3" customFormat="1" x14ac:dyDescent="0.25"/>
    <row r="331" s="3" customFormat="1" x14ac:dyDescent="0.25"/>
    <row r="332" s="3" customFormat="1" x14ac:dyDescent="0.25"/>
    <row r="333" s="3" customFormat="1" x14ac:dyDescent="0.25"/>
    <row r="334" s="3" customFormat="1" x14ac:dyDescent="0.25"/>
    <row r="335" s="3" customFormat="1" x14ac:dyDescent="0.25"/>
    <row r="336" s="3" customFormat="1" x14ac:dyDescent="0.25"/>
    <row r="337" s="3" customFormat="1" x14ac:dyDescent="0.25"/>
    <row r="338" s="3" customFormat="1" x14ac:dyDescent="0.25"/>
    <row r="339" s="3" customFormat="1" x14ac:dyDescent="0.25"/>
    <row r="340" s="3" customFormat="1" x14ac:dyDescent="0.25"/>
    <row r="341" s="3" customFormat="1" x14ac:dyDescent="0.25"/>
    <row r="342" s="3" customFormat="1" x14ac:dyDescent="0.25"/>
    <row r="343" s="3" customFormat="1" x14ac:dyDescent="0.25"/>
    <row r="344" s="3" customFormat="1" x14ac:dyDescent="0.25"/>
    <row r="345" s="3" customFormat="1" x14ac:dyDescent="0.25"/>
    <row r="346" s="3" customFormat="1" x14ac:dyDescent="0.25"/>
    <row r="347" s="3" customFormat="1" x14ac:dyDescent="0.25"/>
    <row r="348" s="3" customFormat="1" x14ac:dyDescent="0.25"/>
    <row r="349" s="3" customFormat="1" x14ac:dyDescent="0.25"/>
    <row r="350" s="3" customFormat="1" x14ac:dyDescent="0.25"/>
    <row r="351" s="3" customFormat="1" x14ac:dyDescent="0.25"/>
    <row r="352" s="3" customFormat="1" x14ac:dyDescent="0.25"/>
    <row r="353" s="3" customFormat="1" x14ac:dyDescent="0.25"/>
    <row r="354" s="3" customFormat="1" x14ac:dyDescent="0.25"/>
    <row r="355" s="3" customFormat="1" x14ac:dyDescent="0.25"/>
    <row r="356" s="3" customFormat="1" x14ac:dyDescent="0.25"/>
    <row r="357" s="3" customFormat="1" x14ac:dyDescent="0.25"/>
    <row r="358" s="3" customFormat="1" x14ac:dyDescent="0.25"/>
    <row r="359" s="3" customFormat="1" x14ac:dyDescent="0.25"/>
    <row r="360" s="3" customFormat="1" x14ac:dyDescent="0.25"/>
    <row r="361" s="3" customFormat="1" x14ac:dyDescent="0.25"/>
    <row r="362" s="3" customFormat="1" x14ac:dyDescent="0.25"/>
    <row r="363" s="3" customFormat="1" x14ac:dyDescent="0.25"/>
    <row r="364" s="3" customFormat="1" x14ac:dyDescent="0.25"/>
    <row r="365" s="3" customFormat="1" x14ac:dyDescent="0.25"/>
    <row r="366" s="3" customFormat="1" x14ac:dyDescent="0.25"/>
    <row r="367" s="3" customFormat="1" x14ac:dyDescent="0.25"/>
    <row r="368" s="3" customFormat="1" x14ac:dyDescent="0.25"/>
    <row r="369" s="3" customFormat="1" x14ac:dyDescent="0.25"/>
    <row r="370" s="3" customFormat="1" x14ac:dyDescent="0.25"/>
    <row r="371" s="3" customFormat="1" x14ac:dyDescent="0.25"/>
    <row r="372" s="3" customFormat="1" x14ac:dyDescent="0.25"/>
    <row r="373" s="3" customFormat="1" x14ac:dyDescent="0.25"/>
    <row r="374" s="3" customFormat="1" x14ac:dyDescent="0.25"/>
    <row r="375" s="3" customFormat="1" x14ac:dyDescent="0.25"/>
    <row r="376" s="3" customFormat="1" x14ac:dyDescent="0.25"/>
    <row r="377" s="3" customFormat="1" x14ac:dyDescent="0.25"/>
    <row r="378" s="3" customFormat="1" x14ac:dyDescent="0.25"/>
    <row r="379" s="3" customFormat="1" x14ac:dyDescent="0.25"/>
    <row r="380" s="3" customFormat="1" x14ac:dyDescent="0.25"/>
    <row r="381" s="3" customFormat="1" x14ac:dyDescent="0.25"/>
    <row r="382" s="3" customFormat="1" x14ac:dyDescent="0.25"/>
    <row r="383" s="3" customFormat="1" x14ac:dyDescent="0.25"/>
    <row r="384" s="3" customFormat="1" x14ac:dyDescent="0.25"/>
    <row r="385" s="3" customFormat="1" x14ac:dyDescent="0.25"/>
    <row r="386" s="3" customFormat="1" x14ac:dyDescent="0.25"/>
    <row r="387" s="3" customFormat="1" x14ac:dyDescent="0.25"/>
    <row r="388" s="3" customFormat="1" x14ac:dyDescent="0.25"/>
    <row r="389" s="3" customFormat="1" x14ac:dyDescent="0.25"/>
    <row r="390" s="3" customFormat="1" x14ac:dyDescent="0.25"/>
    <row r="391" s="3" customFormat="1" x14ac:dyDescent="0.25"/>
    <row r="392" s="3" customFormat="1" x14ac:dyDescent="0.25"/>
    <row r="393" s="3" customFormat="1" x14ac:dyDescent="0.25"/>
    <row r="394" s="3" customFormat="1" x14ac:dyDescent="0.25"/>
    <row r="395" s="3" customFormat="1" x14ac:dyDescent="0.25"/>
    <row r="396" s="3" customFormat="1" x14ac:dyDescent="0.25"/>
    <row r="397" s="3" customFormat="1" x14ac:dyDescent="0.25"/>
    <row r="398" s="3" customFormat="1" x14ac:dyDescent="0.25"/>
    <row r="399" s="3" customFormat="1" x14ac:dyDescent="0.25"/>
    <row r="400" s="3" customFormat="1" x14ac:dyDescent="0.25"/>
    <row r="401" s="3" customFormat="1" x14ac:dyDescent="0.25"/>
    <row r="402" s="3" customFormat="1" x14ac:dyDescent="0.25"/>
    <row r="403" s="3" customFormat="1" x14ac:dyDescent="0.25"/>
    <row r="404" s="3" customFormat="1" x14ac:dyDescent="0.25"/>
    <row r="405" s="3" customFormat="1" x14ac:dyDescent="0.25"/>
    <row r="406" s="3" customFormat="1" x14ac:dyDescent="0.25"/>
    <row r="407" s="3" customFormat="1" x14ac:dyDescent="0.25"/>
    <row r="408" s="3" customFormat="1" x14ac:dyDescent="0.25"/>
    <row r="409" s="3" customFormat="1" x14ac:dyDescent="0.25"/>
    <row r="410" s="3" customFormat="1" x14ac:dyDescent="0.25"/>
    <row r="411" s="3" customFormat="1" x14ac:dyDescent="0.25"/>
    <row r="412" s="3" customFormat="1" x14ac:dyDescent="0.25"/>
    <row r="413" s="3" customFormat="1" x14ac:dyDescent="0.25"/>
    <row r="414" s="3" customFormat="1" x14ac:dyDescent="0.25"/>
    <row r="415" s="3" customFormat="1" x14ac:dyDescent="0.25"/>
    <row r="416" s="3" customFormat="1" x14ac:dyDescent="0.25"/>
    <row r="417" s="3" customFormat="1" x14ac:dyDescent="0.25"/>
    <row r="418" s="3" customFormat="1" x14ac:dyDescent="0.25"/>
    <row r="419" s="3" customFormat="1" x14ac:dyDescent="0.25"/>
    <row r="420" s="3" customFormat="1" x14ac:dyDescent="0.25"/>
    <row r="421" s="3" customFormat="1" x14ac:dyDescent="0.25"/>
    <row r="422" s="3" customFormat="1" x14ac:dyDescent="0.25"/>
    <row r="423" s="3" customFormat="1" x14ac:dyDescent="0.25"/>
    <row r="424" s="3" customFormat="1" x14ac:dyDescent="0.25"/>
    <row r="425" s="3" customFormat="1" x14ac:dyDescent="0.25"/>
    <row r="426" s="3" customFormat="1" x14ac:dyDescent="0.25"/>
    <row r="427" s="3" customFormat="1" x14ac:dyDescent="0.25"/>
    <row r="428" s="3" customFormat="1" x14ac:dyDescent="0.25"/>
    <row r="429" s="3" customFormat="1" x14ac:dyDescent="0.25"/>
    <row r="430" s="3" customFormat="1" x14ac:dyDescent="0.25"/>
    <row r="431" s="3" customFormat="1" x14ac:dyDescent="0.25"/>
    <row r="432" s="3" customFormat="1" x14ac:dyDescent="0.25"/>
    <row r="433" s="3" customFormat="1" x14ac:dyDescent="0.25"/>
    <row r="434" s="3" customFormat="1" x14ac:dyDescent="0.25"/>
    <row r="435" s="3" customFormat="1" x14ac:dyDescent="0.25"/>
    <row r="436" s="3" customFormat="1" x14ac:dyDescent="0.25"/>
    <row r="437" s="3" customFormat="1" x14ac:dyDescent="0.25"/>
    <row r="438" s="3" customFormat="1" x14ac:dyDescent="0.25"/>
    <row r="439" s="3" customFormat="1" x14ac:dyDescent="0.25"/>
    <row r="440" s="3" customFormat="1" x14ac:dyDescent="0.25"/>
    <row r="441" s="3" customFormat="1" x14ac:dyDescent="0.25"/>
    <row r="442" s="3" customFormat="1" x14ac:dyDescent="0.25"/>
    <row r="443" s="3" customFormat="1" x14ac:dyDescent="0.25"/>
    <row r="444" s="3" customFormat="1" x14ac:dyDescent="0.25"/>
    <row r="445" s="3" customFormat="1" x14ac:dyDescent="0.25"/>
    <row r="446" s="3" customFormat="1" x14ac:dyDescent="0.25"/>
    <row r="447" s="3" customFormat="1" x14ac:dyDescent="0.25"/>
    <row r="448" s="3" customFormat="1" x14ac:dyDescent="0.25"/>
    <row r="449" s="3" customFormat="1" x14ac:dyDescent="0.25"/>
    <row r="450" s="3" customFormat="1" x14ac:dyDescent="0.25"/>
    <row r="451" s="3" customFormat="1" x14ac:dyDescent="0.25"/>
    <row r="452" s="3" customFormat="1" x14ac:dyDescent="0.25"/>
    <row r="453" s="3" customFormat="1" x14ac:dyDescent="0.25"/>
    <row r="454" s="3" customFormat="1" x14ac:dyDescent="0.25"/>
    <row r="455" s="3" customFormat="1" x14ac:dyDescent="0.25"/>
    <row r="456" s="3" customFormat="1" x14ac:dyDescent="0.25"/>
    <row r="457" s="3" customFormat="1" x14ac:dyDescent="0.25"/>
    <row r="458" s="3" customFormat="1" x14ac:dyDescent="0.25"/>
    <row r="459" s="3" customFormat="1" x14ac:dyDescent="0.25"/>
    <row r="460" s="3" customFormat="1" x14ac:dyDescent="0.25"/>
    <row r="461" s="3" customFormat="1" x14ac:dyDescent="0.25"/>
    <row r="462" s="3" customFormat="1" x14ac:dyDescent="0.25"/>
    <row r="463" s="3" customFormat="1" x14ac:dyDescent="0.25"/>
    <row r="464" s="3" customFormat="1" x14ac:dyDescent="0.25"/>
    <row r="465" s="3" customFormat="1" x14ac:dyDescent="0.25"/>
    <row r="466" s="3" customFormat="1" x14ac:dyDescent="0.25"/>
    <row r="467" s="3" customFormat="1" x14ac:dyDescent="0.25"/>
    <row r="468" s="3" customFormat="1" x14ac:dyDescent="0.25"/>
    <row r="469" s="3" customFormat="1" x14ac:dyDescent="0.25"/>
    <row r="470" s="3" customFormat="1" x14ac:dyDescent="0.25"/>
    <row r="471" s="3" customFormat="1" x14ac:dyDescent="0.25"/>
    <row r="472" s="3" customFormat="1" x14ac:dyDescent="0.25"/>
    <row r="473" s="3" customFormat="1" x14ac:dyDescent="0.25"/>
    <row r="474" s="3" customFormat="1" x14ac:dyDescent="0.25"/>
    <row r="475" s="3" customFormat="1" x14ac:dyDescent="0.25"/>
    <row r="476" s="3" customFormat="1" x14ac:dyDescent="0.25"/>
    <row r="477" s="3" customFormat="1" x14ac:dyDescent="0.25"/>
    <row r="478" s="3" customFormat="1" x14ac:dyDescent="0.25"/>
    <row r="479" s="3" customFormat="1" x14ac:dyDescent="0.25"/>
    <row r="480" s="3" customFormat="1" x14ac:dyDescent="0.25"/>
    <row r="481" s="3" customFormat="1" x14ac:dyDescent="0.25"/>
    <row r="482" s="3" customFormat="1" x14ac:dyDescent="0.25"/>
    <row r="483" s="3" customFormat="1" x14ac:dyDescent="0.25"/>
    <row r="484" s="3" customFormat="1" x14ac:dyDescent="0.25"/>
    <row r="485" s="3" customFormat="1" x14ac:dyDescent="0.25"/>
    <row r="486" s="3" customFormat="1" x14ac:dyDescent="0.25"/>
    <row r="487" s="3" customFormat="1" x14ac:dyDescent="0.25"/>
    <row r="488" s="3" customFormat="1" x14ac:dyDescent="0.25"/>
    <row r="489" s="3" customFormat="1" x14ac:dyDescent="0.25"/>
    <row r="490" s="3" customFormat="1" x14ac:dyDescent="0.25"/>
    <row r="491" s="3" customFormat="1" x14ac:dyDescent="0.25"/>
    <row r="492" s="3" customFormat="1" x14ac:dyDescent="0.25"/>
    <row r="493" s="3" customFormat="1" x14ac:dyDescent="0.25"/>
    <row r="494" s="3" customFormat="1" x14ac:dyDescent="0.25"/>
    <row r="495" s="3" customFormat="1" x14ac:dyDescent="0.25"/>
    <row r="496" s="3" customFormat="1" x14ac:dyDescent="0.25"/>
    <row r="497" s="3" customFormat="1" x14ac:dyDescent="0.25"/>
    <row r="498" s="3" customFormat="1" x14ac:dyDescent="0.25"/>
    <row r="499" s="3" customFormat="1" x14ac:dyDescent="0.25"/>
    <row r="500" s="3" customFormat="1" x14ac:dyDescent="0.25"/>
    <row r="501" s="3" customFormat="1" x14ac:dyDescent="0.25"/>
    <row r="502" s="3" customFormat="1" x14ac:dyDescent="0.25"/>
    <row r="503" s="3" customFormat="1" x14ac:dyDescent="0.25"/>
    <row r="504" s="3" customFormat="1" x14ac:dyDescent="0.25"/>
    <row r="505" s="3" customFormat="1" x14ac:dyDescent="0.25"/>
    <row r="506" s="3" customFormat="1" x14ac:dyDescent="0.25"/>
    <row r="507" s="3" customFormat="1" x14ac:dyDescent="0.25"/>
    <row r="508" s="3" customFormat="1" x14ac:dyDescent="0.25"/>
    <row r="509" s="3" customFormat="1" x14ac:dyDescent="0.25"/>
    <row r="510" s="3" customFormat="1" x14ac:dyDescent="0.25"/>
    <row r="511" s="3" customFormat="1" x14ac:dyDescent="0.25"/>
    <row r="512" s="3" customFormat="1" x14ac:dyDescent="0.25"/>
    <row r="513" s="3" customFormat="1" x14ac:dyDescent="0.25"/>
    <row r="514" s="3" customFormat="1" x14ac:dyDescent="0.25"/>
    <row r="515" s="3" customFormat="1" x14ac:dyDescent="0.25"/>
    <row r="516" s="3" customFormat="1" x14ac:dyDescent="0.25"/>
    <row r="517" s="3" customFormat="1" x14ac:dyDescent="0.25"/>
    <row r="518" s="3" customFormat="1" x14ac:dyDescent="0.25"/>
    <row r="519" s="3" customFormat="1" x14ac:dyDescent="0.25"/>
    <row r="520" s="3" customFormat="1" x14ac:dyDescent="0.25"/>
    <row r="521" s="3" customFormat="1" x14ac:dyDescent="0.25"/>
    <row r="522" s="3" customFormat="1" x14ac:dyDescent="0.25"/>
    <row r="523" s="3" customFormat="1" x14ac:dyDescent="0.25"/>
    <row r="524" s="3" customFormat="1" x14ac:dyDescent="0.25"/>
    <row r="525" s="3" customFormat="1" x14ac:dyDescent="0.25"/>
    <row r="526" s="3" customFormat="1" x14ac:dyDescent="0.25"/>
    <row r="527" s="3" customFormat="1" x14ac:dyDescent="0.25"/>
    <row r="528" s="3" customFormat="1" x14ac:dyDescent="0.25"/>
    <row r="529" s="3" customFormat="1" x14ac:dyDescent="0.25"/>
    <row r="530" s="3" customFormat="1" x14ac:dyDescent="0.25"/>
    <row r="531" s="3" customFormat="1" x14ac:dyDescent="0.25"/>
    <row r="532" s="3" customFormat="1" x14ac:dyDescent="0.25"/>
    <row r="533" s="3" customFormat="1" x14ac:dyDescent="0.25"/>
    <row r="534" s="3" customFormat="1" x14ac:dyDescent="0.25"/>
    <row r="535" s="3" customFormat="1" x14ac:dyDescent="0.25"/>
    <row r="536" s="3" customFormat="1" x14ac:dyDescent="0.25"/>
    <row r="537" s="3" customFormat="1" x14ac:dyDescent="0.25"/>
    <row r="538" s="3" customFormat="1" x14ac:dyDescent="0.25"/>
    <row r="539" s="3" customFormat="1" x14ac:dyDescent="0.25"/>
    <row r="540" s="3" customFormat="1" x14ac:dyDescent="0.25"/>
    <row r="541" s="3" customFormat="1" x14ac:dyDescent="0.25"/>
    <row r="542" s="3" customFormat="1" x14ac:dyDescent="0.25"/>
    <row r="543" s="3" customFormat="1" x14ac:dyDescent="0.25"/>
    <row r="544" s="3" customFormat="1" x14ac:dyDescent="0.25"/>
    <row r="545" s="3" customFormat="1" x14ac:dyDescent="0.25"/>
    <row r="546" s="3" customFormat="1" x14ac:dyDescent="0.25"/>
    <row r="547" s="3" customFormat="1" x14ac:dyDescent="0.25"/>
    <row r="548" s="3" customFormat="1" x14ac:dyDescent="0.25"/>
    <row r="549" s="3" customFormat="1" x14ac:dyDescent="0.25"/>
    <row r="550" s="3" customFormat="1" x14ac:dyDescent="0.25"/>
    <row r="551" s="3" customFormat="1" x14ac:dyDescent="0.25"/>
    <row r="552" s="3" customFormat="1" x14ac:dyDescent="0.25"/>
    <row r="553" s="3" customFormat="1" x14ac:dyDescent="0.25"/>
    <row r="554" s="3" customFormat="1" x14ac:dyDescent="0.25"/>
    <row r="555" s="3" customFormat="1" x14ac:dyDescent="0.25"/>
    <row r="556" s="3" customFormat="1" x14ac:dyDescent="0.25"/>
    <row r="557" s="3" customFormat="1" x14ac:dyDescent="0.25"/>
    <row r="558" s="3" customFormat="1" x14ac:dyDescent="0.25"/>
    <row r="559" s="3" customFormat="1" x14ac:dyDescent="0.25"/>
    <row r="560" s="3" customFormat="1" x14ac:dyDescent="0.25"/>
    <row r="561" s="3" customFormat="1" x14ac:dyDescent="0.25"/>
    <row r="562" s="3" customFormat="1" x14ac:dyDescent="0.25"/>
    <row r="563" s="3" customFormat="1" x14ac:dyDescent="0.25"/>
    <row r="564" s="3" customFormat="1" x14ac:dyDescent="0.25"/>
    <row r="565" s="3" customFormat="1" x14ac:dyDescent="0.25"/>
    <row r="566" s="3" customFormat="1" x14ac:dyDescent="0.25"/>
    <row r="567" s="3" customFormat="1" x14ac:dyDescent="0.25"/>
    <row r="568" s="3" customFormat="1" x14ac:dyDescent="0.25"/>
    <row r="569" s="3" customFormat="1" x14ac:dyDescent="0.25"/>
    <row r="570" s="3" customFormat="1" x14ac:dyDescent="0.25"/>
    <row r="571" s="3" customFormat="1" x14ac:dyDescent="0.25"/>
    <row r="572" s="3" customFormat="1" x14ac:dyDescent="0.25"/>
    <row r="573" s="3" customFormat="1" x14ac:dyDescent="0.25"/>
    <row r="574" s="3" customFormat="1" x14ac:dyDescent="0.25"/>
    <row r="575" s="3" customFormat="1" x14ac:dyDescent="0.25"/>
    <row r="576" s="3" customFormat="1" x14ac:dyDescent="0.25"/>
    <row r="577" s="3" customFormat="1" x14ac:dyDescent="0.25"/>
    <row r="578" s="3" customFormat="1" x14ac:dyDescent="0.25"/>
    <row r="579" s="3" customFormat="1" x14ac:dyDescent="0.25"/>
    <row r="580" s="3" customFormat="1" x14ac:dyDescent="0.25"/>
    <row r="581" s="3" customFormat="1" x14ac:dyDescent="0.25"/>
    <row r="582" s="3" customFormat="1" x14ac:dyDescent="0.25"/>
    <row r="583" s="3" customFormat="1" x14ac:dyDescent="0.25"/>
    <row r="584" s="3" customFormat="1" x14ac:dyDescent="0.25"/>
    <row r="585" s="3" customFormat="1" x14ac:dyDescent="0.25"/>
    <row r="586" s="3" customFormat="1" x14ac:dyDescent="0.25"/>
    <row r="587" s="3" customFormat="1" x14ac:dyDescent="0.25"/>
    <row r="588" s="3" customFormat="1" x14ac:dyDescent="0.25"/>
    <row r="589" s="3" customFormat="1" x14ac:dyDescent="0.25"/>
    <row r="590" s="3" customFormat="1" x14ac:dyDescent="0.25"/>
    <row r="591" s="3" customFormat="1" x14ac:dyDescent="0.25"/>
    <row r="592" s="3" customFormat="1" x14ac:dyDescent="0.25"/>
    <row r="593" s="3" customFormat="1" x14ac:dyDescent="0.25"/>
    <row r="594" s="3" customFormat="1" x14ac:dyDescent="0.25"/>
    <row r="595" s="3" customFormat="1" x14ac:dyDescent="0.25"/>
    <row r="596" s="3" customFormat="1" x14ac:dyDescent="0.25"/>
    <row r="597" s="3" customFormat="1" x14ac:dyDescent="0.25"/>
    <row r="598" s="3" customFormat="1" x14ac:dyDescent="0.25"/>
    <row r="599" s="3" customFormat="1" x14ac:dyDescent="0.25"/>
    <row r="600" s="3" customFormat="1" x14ac:dyDescent="0.25"/>
    <row r="601" s="3" customFormat="1" x14ac:dyDescent="0.25"/>
    <row r="602" s="3" customFormat="1" x14ac:dyDescent="0.25"/>
    <row r="603" s="3" customFormat="1" x14ac:dyDescent="0.25"/>
    <row r="604" s="3" customFormat="1" x14ac:dyDescent="0.25"/>
    <row r="605" s="3" customFormat="1" x14ac:dyDescent="0.25"/>
    <row r="606" s="3" customFormat="1" x14ac:dyDescent="0.25"/>
    <row r="607" s="3" customFormat="1" x14ac:dyDescent="0.25"/>
    <row r="608" s="3" customFormat="1" x14ac:dyDescent="0.25"/>
    <row r="609" s="3" customFormat="1" x14ac:dyDescent="0.25"/>
    <row r="610" s="3" customFormat="1" x14ac:dyDescent="0.25"/>
    <row r="611" s="3" customFormat="1" x14ac:dyDescent="0.25"/>
    <row r="612" s="3" customFormat="1" x14ac:dyDescent="0.25"/>
    <row r="613" s="3" customFormat="1" x14ac:dyDescent="0.25"/>
    <row r="614" s="3" customFormat="1" x14ac:dyDescent="0.25"/>
    <row r="615" s="3" customFormat="1" x14ac:dyDescent="0.25"/>
    <row r="616" s="3" customFormat="1" x14ac:dyDescent="0.25"/>
    <row r="617" s="3" customFormat="1" x14ac:dyDescent="0.25"/>
    <row r="618" s="3" customFormat="1" x14ac:dyDescent="0.25"/>
    <row r="619" s="3" customFormat="1" x14ac:dyDescent="0.25"/>
    <row r="620" s="3" customFormat="1" x14ac:dyDescent="0.25"/>
    <row r="621" s="3" customFormat="1" x14ac:dyDescent="0.25"/>
    <row r="622" s="3" customFormat="1" x14ac:dyDescent="0.25"/>
    <row r="623" s="3" customFormat="1" x14ac:dyDescent="0.25"/>
    <row r="624" s="3" customFormat="1" x14ac:dyDescent="0.25"/>
    <row r="625" s="3" customFormat="1" x14ac:dyDescent="0.25"/>
    <row r="626" s="3" customFormat="1" x14ac:dyDescent="0.25"/>
    <row r="627" s="3" customFormat="1" x14ac:dyDescent="0.25"/>
    <row r="628" s="3" customFormat="1" x14ac:dyDescent="0.25"/>
    <row r="629" s="3" customFormat="1" x14ac:dyDescent="0.25"/>
    <row r="630" s="3" customFormat="1" x14ac:dyDescent="0.25"/>
    <row r="631" s="3" customFormat="1" x14ac:dyDescent="0.25"/>
    <row r="632" s="3" customFormat="1" x14ac:dyDescent="0.25"/>
    <row r="633" s="3" customFormat="1" x14ac:dyDescent="0.25"/>
    <row r="634" s="3" customFormat="1" x14ac:dyDescent="0.25"/>
    <row r="635" s="3" customFormat="1" x14ac:dyDescent="0.25"/>
    <row r="636" s="3" customFormat="1" x14ac:dyDescent="0.25"/>
    <row r="637" s="3" customFormat="1" x14ac:dyDescent="0.25"/>
    <row r="638" s="3" customFormat="1" x14ac:dyDescent="0.25"/>
    <row r="639" s="3" customFormat="1" x14ac:dyDescent="0.25"/>
    <row r="640" s="3" customFormat="1" x14ac:dyDescent="0.25"/>
    <row r="641" s="3" customFormat="1" x14ac:dyDescent="0.25"/>
    <row r="642" s="3" customFormat="1" x14ac:dyDescent="0.25"/>
    <row r="643" s="3" customFormat="1" x14ac:dyDescent="0.25"/>
    <row r="644" s="3" customFormat="1" x14ac:dyDescent="0.25"/>
    <row r="645" s="3" customFormat="1" x14ac:dyDescent="0.25"/>
    <row r="646" s="3" customFormat="1" x14ac:dyDescent="0.25"/>
    <row r="647" s="3" customFormat="1" x14ac:dyDescent="0.25"/>
    <row r="648" s="3" customFormat="1" x14ac:dyDescent="0.25"/>
    <row r="649" s="3" customFormat="1" x14ac:dyDescent="0.25"/>
    <row r="650" s="3" customFormat="1" x14ac:dyDescent="0.25"/>
    <row r="651" s="3" customFormat="1" x14ac:dyDescent="0.25"/>
    <row r="652" s="3" customFormat="1" x14ac:dyDescent="0.25"/>
    <row r="653" s="3" customFormat="1" x14ac:dyDescent="0.25"/>
    <row r="654" s="3" customFormat="1" x14ac:dyDescent="0.25"/>
    <row r="655" s="3" customFormat="1" x14ac:dyDescent="0.25"/>
    <row r="656" s="3" customFormat="1" x14ac:dyDescent="0.25"/>
    <row r="657" s="3" customFormat="1" x14ac:dyDescent="0.25"/>
    <row r="658" s="3" customFormat="1" x14ac:dyDescent="0.25"/>
    <row r="659" s="3" customFormat="1" x14ac:dyDescent="0.25"/>
    <row r="660" s="3" customFormat="1" x14ac:dyDescent="0.25"/>
    <row r="661" s="3" customFormat="1" x14ac:dyDescent="0.25"/>
    <row r="662" s="3" customFormat="1" x14ac:dyDescent="0.25"/>
    <row r="663" s="3" customFormat="1" x14ac:dyDescent="0.25"/>
    <row r="664" s="3" customFormat="1" x14ac:dyDescent="0.25"/>
    <row r="665" s="3" customFormat="1" x14ac:dyDescent="0.25"/>
    <row r="666" s="3" customFormat="1" x14ac:dyDescent="0.25"/>
    <row r="667" s="3" customFormat="1" x14ac:dyDescent="0.25"/>
    <row r="668" s="3" customFormat="1" x14ac:dyDescent="0.25"/>
    <row r="669" s="3" customFormat="1" x14ac:dyDescent="0.25"/>
    <row r="670" s="3" customFormat="1" x14ac:dyDescent="0.25"/>
    <row r="671" s="3" customFormat="1" x14ac:dyDescent="0.25"/>
    <row r="672" s="3" customFormat="1" x14ac:dyDescent="0.25"/>
    <row r="673" s="3" customFormat="1" x14ac:dyDescent="0.25"/>
    <row r="674" s="3" customFormat="1" x14ac:dyDescent="0.25"/>
    <row r="675" s="3" customFormat="1" x14ac:dyDescent="0.25"/>
    <row r="676" s="3" customFormat="1" x14ac:dyDescent="0.25"/>
    <row r="677" s="3" customFormat="1" x14ac:dyDescent="0.25"/>
    <row r="678" s="3" customFormat="1" x14ac:dyDescent="0.25"/>
    <row r="679" s="3" customFormat="1" x14ac:dyDescent="0.25"/>
    <row r="680" s="3" customFormat="1" x14ac:dyDescent="0.25"/>
    <row r="681" s="3" customFormat="1" x14ac:dyDescent="0.25"/>
    <row r="682" s="3" customFormat="1" x14ac:dyDescent="0.25"/>
    <row r="683" s="3" customFormat="1" x14ac:dyDescent="0.25"/>
    <row r="684" s="3" customFormat="1" x14ac:dyDescent="0.25"/>
    <row r="685" s="3" customFormat="1" x14ac:dyDescent="0.25"/>
    <row r="686" s="3" customFormat="1" x14ac:dyDescent="0.25"/>
    <row r="687" s="3" customFormat="1" x14ac:dyDescent="0.25"/>
    <row r="688" s="3" customFormat="1" x14ac:dyDescent="0.25"/>
    <row r="689" s="3" customFormat="1" x14ac:dyDescent="0.25"/>
    <row r="690" s="3" customFormat="1" x14ac:dyDescent="0.25"/>
    <row r="691" s="3" customFormat="1" x14ac:dyDescent="0.25"/>
    <row r="692" s="3" customFormat="1" x14ac:dyDescent="0.25"/>
    <row r="693" s="3" customFormat="1" x14ac:dyDescent="0.25"/>
    <row r="694" s="3" customFormat="1" x14ac:dyDescent="0.25"/>
    <row r="695" s="3" customFormat="1" x14ac:dyDescent="0.25"/>
    <row r="696" s="3" customFormat="1" x14ac:dyDescent="0.25"/>
    <row r="697" s="3" customFormat="1" x14ac:dyDescent="0.25"/>
    <row r="698" s="3" customFormat="1" x14ac:dyDescent="0.25"/>
    <row r="699" s="3" customFormat="1" x14ac:dyDescent="0.25"/>
    <row r="700" s="3" customFormat="1" x14ac:dyDescent="0.25"/>
    <row r="701" s="3" customFormat="1" x14ac:dyDescent="0.25"/>
    <row r="702" s="3" customFormat="1" x14ac:dyDescent="0.25"/>
    <row r="703" s="3" customFormat="1" x14ac:dyDescent="0.25"/>
    <row r="704" s="3" customFormat="1" x14ac:dyDescent="0.25"/>
    <row r="705" s="3" customFormat="1" x14ac:dyDescent="0.25"/>
    <row r="706" s="3" customFormat="1" x14ac:dyDescent="0.25"/>
    <row r="707" s="3" customFormat="1" x14ac:dyDescent="0.25"/>
    <row r="708" s="3" customFormat="1" x14ac:dyDescent="0.25"/>
    <row r="709" s="3" customFormat="1" x14ac:dyDescent="0.25"/>
    <row r="710" s="3" customFormat="1" x14ac:dyDescent="0.25"/>
    <row r="711" s="3" customFormat="1" x14ac:dyDescent="0.25"/>
    <row r="712" s="3" customFormat="1" x14ac:dyDescent="0.25"/>
    <row r="713" s="3" customFormat="1" x14ac:dyDescent="0.25"/>
    <row r="714" s="3" customFormat="1" x14ac:dyDescent="0.25"/>
    <row r="715" s="3" customFormat="1" x14ac:dyDescent="0.25"/>
    <row r="716" s="3" customFormat="1" x14ac:dyDescent="0.25"/>
    <row r="717" s="3" customFormat="1" x14ac:dyDescent="0.25"/>
    <row r="718" s="3" customFormat="1" x14ac:dyDescent="0.25"/>
    <row r="719" s="3" customFormat="1" x14ac:dyDescent="0.25"/>
    <row r="720" s="3" customFormat="1" x14ac:dyDescent="0.25"/>
    <row r="721" s="3" customFormat="1" x14ac:dyDescent="0.25"/>
    <row r="722" s="3" customFormat="1" x14ac:dyDescent="0.25"/>
    <row r="723" s="3" customFormat="1" x14ac:dyDescent="0.25"/>
    <row r="724" s="3" customFormat="1" x14ac:dyDescent="0.25"/>
    <row r="725" s="3" customFormat="1" x14ac:dyDescent="0.25"/>
    <row r="726" s="3" customFormat="1" x14ac:dyDescent="0.25"/>
    <row r="727" s="3" customFormat="1" x14ac:dyDescent="0.25"/>
    <row r="728" s="3" customFormat="1" x14ac:dyDescent="0.25"/>
    <row r="729" s="3" customFormat="1" x14ac:dyDescent="0.25"/>
    <row r="730" s="3" customFormat="1" x14ac:dyDescent="0.25"/>
    <row r="731" s="3" customFormat="1" x14ac:dyDescent="0.25"/>
    <row r="732" s="3" customFormat="1" x14ac:dyDescent="0.25"/>
    <row r="733" s="3" customFormat="1" x14ac:dyDescent="0.25"/>
    <row r="734" s="3" customFormat="1" x14ac:dyDescent="0.25"/>
    <row r="735" s="3" customFormat="1" x14ac:dyDescent="0.25"/>
    <row r="736" s="3" customFormat="1" x14ac:dyDescent="0.25"/>
    <row r="737" s="3" customFormat="1" x14ac:dyDescent="0.25"/>
    <row r="738" s="3" customFormat="1" x14ac:dyDescent="0.25"/>
    <row r="739" s="3" customFormat="1" x14ac:dyDescent="0.25"/>
    <row r="740" s="3" customFormat="1" x14ac:dyDescent="0.25"/>
    <row r="741" s="3" customFormat="1" x14ac:dyDescent="0.25"/>
    <row r="742" s="3" customFormat="1" x14ac:dyDescent="0.25"/>
    <row r="743" s="3" customFormat="1" x14ac:dyDescent="0.25"/>
    <row r="744" s="3" customFormat="1" x14ac:dyDescent="0.25"/>
    <row r="745" s="3" customFormat="1" x14ac:dyDescent="0.25"/>
    <row r="746" s="3" customFormat="1" x14ac:dyDescent="0.25"/>
    <row r="747" s="3" customFormat="1" x14ac:dyDescent="0.25"/>
    <row r="748" s="3" customFormat="1" x14ac:dyDescent="0.25"/>
    <row r="749" s="3" customFormat="1" x14ac:dyDescent="0.25"/>
    <row r="750" s="3" customFormat="1" x14ac:dyDescent="0.25"/>
    <row r="751" s="3" customFormat="1" x14ac:dyDescent="0.25"/>
    <row r="752" s="3" customFormat="1" x14ac:dyDescent="0.25"/>
    <row r="753" s="3" customFormat="1" x14ac:dyDescent="0.25"/>
    <row r="754" s="3" customFormat="1" x14ac:dyDescent="0.25"/>
    <row r="755" s="3" customFormat="1" x14ac:dyDescent="0.25"/>
    <row r="756" s="3" customFormat="1" x14ac:dyDescent="0.25"/>
    <row r="757" s="3" customFormat="1" x14ac:dyDescent="0.25"/>
    <row r="758" s="3" customFormat="1" x14ac:dyDescent="0.25"/>
    <row r="759" s="3" customFormat="1" x14ac:dyDescent="0.25"/>
    <row r="760" s="3" customFormat="1" x14ac:dyDescent="0.25"/>
    <row r="761" s="3" customFormat="1" x14ac:dyDescent="0.25"/>
    <row r="762" s="3" customFormat="1" x14ac:dyDescent="0.25"/>
    <row r="763" s="3" customFormat="1" x14ac:dyDescent="0.25"/>
    <row r="764" s="3" customFormat="1" x14ac:dyDescent="0.25"/>
    <row r="765" s="3" customFormat="1" x14ac:dyDescent="0.25"/>
    <row r="766" s="3" customFormat="1" x14ac:dyDescent="0.25"/>
    <row r="767" s="3" customFormat="1" x14ac:dyDescent="0.25"/>
    <row r="768" s="3" customFormat="1" x14ac:dyDescent="0.25"/>
    <row r="769" s="3" customFormat="1" x14ac:dyDescent="0.25"/>
    <row r="770" s="3" customFormat="1" x14ac:dyDescent="0.25"/>
    <row r="771" s="3" customFormat="1" x14ac:dyDescent="0.25"/>
    <row r="772" s="3" customFormat="1" x14ac:dyDescent="0.25"/>
    <row r="773" s="3" customFormat="1" x14ac:dyDescent="0.25"/>
    <row r="774" s="3" customFormat="1" x14ac:dyDescent="0.25"/>
    <row r="775" s="3" customFormat="1" x14ac:dyDescent="0.25"/>
    <row r="776" s="3" customFormat="1" x14ac:dyDescent="0.25"/>
    <row r="777" s="3" customFormat="1" x14ac:dyDescent="0.25"/>
    <row r="778" s="3" customFormat="1" x14ac:dyDescent="0.25"/>
    <row r="779" s="3" customFormat="1" x14ac:dyDescent="0.25"/>
    <row r="780" s="3" customFormat="1" x14ac:dyDescent="0.25"/>
    <row r="781" s="3" customFormat="1" x14ac:dyDescent="0.25"/>
    <row r="782" s="3" customFormat="1" x14ac:dyDescent="0.25"/>
    <row r="783" s="3" customFormat="1" x14ac:dyDescent="0.25"/>
    <row r="784" s="3" customFormat="1" x14ac:dyDescent="0.25"/>
    <row r="785" s="3" customFormat="1" x14ac:dyDescent="0.25"/>
    <row r="786" s="3" customFormat="1" x14ac:dyDescent="0.25"/>
    <row r="787" s="3" customFormat="1" x14ac:dyDescent="0.25"/>
    <row r="788" s="3" customFormat="1" x14ac:dyDescent="0.25"/>
    <row r="789" s="3" customFormat="1" x14ac:dyDescent="0.25"/>
    <row r="790" s="3" customFormat="1" x14ac:dyDescent="0.25"/>
    <row r="791" s="3" customFormat="1" x14ac:dyDescent="0.25"/>
    <row r="792" s="3" customFormat="1" x14ac:dyDescent="0.25"/>
    <row r="793" s="3" customFormat="1" x14ac:dyDescent="0.25"/>
    <row r="794" s="3" customFormat="1" x14ac:dyDescent="0.25"/>
    <row r="795" s="3" customFormat="1" x14ac:dyDescent="0.25"/>
    <row r="796" s="3" customFormat="1" x14ac:dyDescent="0.25"/>
    <row r="797" s="3" customFormat="1" x14ac:dyDescent="0.25"/>
    <row r="798" s="3" customFormat="1" x14ac:dyDescent="0.25"/>
    <row r="799" s="3" customFormat="1" x14ac:dyDescent="0.25"/>
    <row r="800" s="3" customFormat="1" x14ac:dyDescent="0.25"/>
    <row r="801" s="3" customFormat="1" x14ac:dyDescent="0.25"/>
    <row r="802" s="3" customFormat="1" x14ac:dyDescent="0.25"/>
    <row r="803" s="3" customFormat="1" x14ac:dyDescent="0.25"/>
    <row r="804" s="3" customFormat="1" x14ac:dyDescent="0.25"/>
    <row r="805" s="3" customFormat="1" x14ac:dyDescent="0.25"/>
    <row r="806" s="3" customFormat="1" x14ac:dyDescent="0.25"/>
    <row r="807" s="3" customFormat="1" x14ac:dyDescent="0.25"/>
    <row r="808" s="3" customFormat="1" x14ac:dyDescent="0.25"/>
    <row r="809" s="3" customFormat="1" x14ac:dyDescent="0.25"/>
    <row r="810" s="3" customFormat="1" x14ac:dyDescent="0.25"/>
    <row r="811" s="3" customFormat="1" x14ac:dyDescent="0.25"/>
    <row r="812" s="3" customFormat="1" x14ac:dyDescent="0.25"/>
    <row r="813" s="3" customFormat="1" x14ac:dyDescent="0.25"/>
    <row r="814" s="3" customFormat="1" x14ac:dyDescent="0.25"/>
    <row r="815" s="3" customFormat="1" x14ac:dyDescent="0.25"/>
    <row r="816" s="3" customFormat="1" x14ac:dyDescent="0.25"/>
    <row r="817" s="3" customFormat="1" x14ac:dyDescent="0.25"/>
    <row r="818" s="3" customFormat="1" x14ac:dyDescent="0.25"/>
    <row r="819" s="3" customFormat="1" x14ac:dyDescent="0.25"/>
    <row r="820" s="3" customFormat="1" x14ac:dyDescent="0.25"/>
    <row r="821" s="3" customFormat="1" x14ac:dyDescent="0.25"/>
    <row r="822" s="3" customFormat="1" x14ac:dyDescent="0.25"/>
    <row r="823" s="3" customFormat="1" x14ac:dyDescent="0.25"/>
    <row r="824" s="3" customFormat="1" x14ac:dyDescent="0.25"/>
    <row r="825" s="3" customFormat="1" x14ac:dyDescent="0.25"/>
    <row r="826" s="3" customFormat="1" x14ac:dyDescent="0.25"/>
    <row r="827" s="3" customFormat="1" x14ac:dyDescent="0.25"/>
    <row r="828" s="3" customFormat="1" x14ac:dyDescent="0.25"/>
    <row r="829" s="3" customFormat="1" x14ac:dyDescent="0.25"/>
    <row r="830" s="3" customFormat="1" x14ac:dyDescent="0.25"/>
    <row r="831" s="3" customFormat="1" x14ac:dyDescent="0.25"/>
    <row r="832" s="3" customFormat="1" x14ac:dyDescent="0.25"/>
    <row r="833" s="3" customFormat="1" x14ac:dyDescent="0.25"/>
    <row r="834" s="3" customFormat="1" x14ac:dyDescent="0.25"/>
    <row r="835" s="3" customFormat="1" x14ac:dyDescent="0.25"/>
    <row r="836" s="3" customFormat="1" x14ac:dyDescent="0.25"/>
    <row r="837" s="3" customFormat="1" x14ac:dyDescent="0.25"/>
    <row r="838" s="3" customFormat="1" x14ac:dyDescent="0.25"/>
    <row r="839" s="3" customFormat="1" x14ac:dyDescent="0.25"/>
    <row r="840" s="3" customFormat="1" x14ac:dyDescent="0.25"/>
    <row r="841" s="3" customFormat="1" x14ac:dyDescent="0.25"/>
    <row r="842" s="3" customFormat="1" x14ac:dyDescent="0.25"/>
    <row r="843" s="3" customFormat="1" x14ac:dyDescent="0.25"/>
    <row r="844" s="3" customFormat="1" x14ac:dyDescent="0.25"/>
    <row r="845" s="3" customFormat="1" x14ac:dyDescent="0.25"/>
    <row r="846" s="3" customFormat="1" x14ac:dyDescent="0.25"/>
    <row r="847" s="3" customFormat="1" x14ac:dyDescent="0.25"/>
    <row r="848" s="3" customFormat="1" x14ac:dyDescent="0.25"/>
    <row r="849" s="3" customFormat="1" x14ac:dyDescent="0.25"/>
    <row r="850" s="3" customFormat="1" x14ac:dyDescent="0.25"/>
    <row r="851" s="3" customFormat="1" x14ac:dyDescent="0.25"/>
    <row r="852" s="3" customFormat="1" x14ac:dyDescent="0.25"/>
    <row r="853" s="3" customFormat="1" x14ac:dyDescent="0.25"/>
    <row r="854" s="3" customFormat="1" x14ac:dyDescent="0.25"/>
    <row r="855" s="3" customFormat="1" x14ac:dyDescent="0.25"/>
    <row r="856" s="3" customFormat="1" x14ac:dyDescent="0.25"/>
    <row r="857" s="3" customFormat="1" x14ac:dyDescent="0.25"/>
    <row r="858" s="3" customFormat="1" x14ac:dyDescent="0.25"/>
    <row r="859" s="3" customFormat="1" x14ac:dyDescent="0.25"/>
    <row r="860" s="3" customFormat="1" x14ac:dyDescent="0.25"/>
    <row r="861" s="3" customFormat="1" x14ac:dyDescent="0.25"/>
    <row r="862" s="3" customFormat="1" x14ac:dyDescent="0.25"/>
    <row r="863" s="3" customFormat="1" x14ac:dyDescent="0.25"/>
    <row r="864" s="3" customFormat="1" x14ac:dyDescent="0.25"/>
    <row r="865" s="3" customFormat="1" x14ac:dyDescent="0.25"/>
    <row r="866" s="3" customFormat="1" x14ac:dyDescent="0.25"/>
    <row r="867" s="3" customFormat="1" x14ac:dyDescent="0.25"/>
    <row r="868" s="3" customFormat="1" x14ac:dyDescent="0.25"/>
    <row r="869" s="3" customFormat="1" x14ac:dyDescent="0.25"/>
    <row r="870" s="3" customFormat="1" x14ac:dyDescent="0.25"/>
    <row r="871" s="3" customFormat="1" x14ac:dyDescent="0.25"/>
    <row r="872" s="3" customFormat="1" x14ac:dyDescent="0.25"/>
    <row r="873" s="3" customFormat="1" x14ac:dyDescent="0.25"/>
    <row r="874" s="3" customFormat="1" x14ac:dyDescent="0.25"/>
    <row r="875" s="3" customFormat="1" x14ac:dyDescent="0.25"/>
    <row r="876" s="3" customFormat="1" x14ac:dyDescent="0.25"/>
    <row r="877" s="3" customFormat="1" x14ac:dyDescent="0.25"/>
    <row r="878" s="3" customFormat="1" x14ac:dyDescent="0.25"/>
    <row r="879" s="3" customFormat="1" x14ac:dyDescent="0.25"/>
    <row r="880" s="3" customFormat="1" x14ac:dyDescent="0.25"/>
    <row r="881" s="3" customFormat="1" x14ac:dyDescent="0.25"/>
    <row r="882" s="3" customFormat="1" x14ac:dyDescent="0.25"/>
    <row r="883" s="3" customFormat="1" x14ac:dyDescent="0.25"/>
    <row r="884" s="3" customFormat="1" x14ac:dyDescent="0.25"/>
    <row r="885" s="3" customFormat="1" x14ac:dyDescent="0.25"/>
    <row r="886" s="3" customFormat="1" x14ac:dyDescent="0.25"/>
    <row r="887" s="3" customFormat="1" x14ac:dyDescent="0.25"/>
    <row r="888" s="3" customFormat="1" x14ac:dyDescent="0.25"/>
    <row r="889" s="3" customFormat="1" x14ac:dyDescent="0.25"/>
    <row r="890" s="3" customFormat="1" x14ac:dyDescent="0.25"/>
    <row r="891" s="3" customFormat="1" x14ac:dyDescent="0.25"/>
    <row r="892" s="3" customFormat="1" x14ac:dyDescent="0.25"/>
    <row r="893" s="3" customFormat="1" x14ac:dyDescent="0.25"/>
    <row r="894" s="3" customFormat="1" x14ac:dyDescent="0.25"/>
    <row r="895" s="3" customFormat="1" x14ac:dyDescent="0.25"/>
    <row r="896" s="3" customFormat="1" x14ac:dyDescent="0.25"/>
    <row r="897" s="3" customFormat="1" x14ac:dyDescent="0.25"/>
    <row r="898" s="3" customFormat="1" x14ac:dyDescent="0.25"/>
    <row r="899" s="3" customFormat="1" x14ac:dyDescent="0.25"/>
    <row r="900" s="3" customFormat="1" x14ac:dyDescent="0.25"/>
    <row r="901" s="3" customFormat="1" x14ac:dyDescent="0.25"/>
    <row r="902" s="3" customFormat="1" x14ac:dyDescent="0.25"/>
    <row r="903" s="3" customFormat="1" x14ac:dyDescent="0.25"/>
    <row r="904" s="3" customFormat="1" x14ac:dyDescent="0.25"/>
    <row r="905" s="3" customFormat="1" x14ac:dyDescent="0.25"/>
    <row r="906" s="3" customFormat="1" x14ac:dyDescent="0.25"/>
    <row r="907" s="3" customFormat="1" x14ac:dyDescent="0.25"/>
    <row r="908" s="3" customFormat="1" x14ac:dyDescent="0.25"/>
    <row r="909" s="3" customFormat="1" x14ac:dyDescent="0.25"/>
    <row r="910" s="3" customFormat="1" x14ac:dyDescent="0.25"/>
    <row r="911" s="3" customFormat="1" x14ac:dyDescent="0.25"/>
    <row r="912" s="3" customFormat="1" x14ac:dyDescent="0.25"/>
    <row r="913" s="3" customFormat="1" x14ac:dyDescent="0.25"/>
    <row r="914" s="3" customFormat="1" x14ac:dyDescent="0.25"/>
    <row r="915" s="3" customFormat="1" x14ac:dyDescent="0.25"/>
    <row r="916" s="3" customFormat="1" x14ac:dyDescent="0.25"/>
    <row r="917" s="3" customFormat="1" x14ac:dyDescent="0.25"/>
    <row r="918" s="3" customFormat="1" x14ac:dyDescent="0.25"/>
    <row r="919" s="3" customFormat="1" x14ac:dyDescent="0.25"/>
    <row r="920" s="3" customFormat="1" x14ac:dyDescent="0.25"/>
    <row r="921" s="3" customFormat="1" x14ac:dyDescent="0.25"/>
    <row r="922" s="3" customFormat="1" x14ac:dyDescent="0.25"/>
    <row r="923" s="3" customFormat="1" x14ac:dyDescent="0.25"/>
    <row r="924" s="3" customFormat="1" x14ac:dyDescent="0.25"/>
    <row r="925" s="3" customFormat="1" x14ac:dyDescent="0.25"/>
    <row r="926" s="3" customFormat="1" x14ac:dyDescent="0.25"/>
    <row r="927" s="3" customFormat="1" x14ac:dyDescent="0.25"/>
    <row r="928" s="3" customFormat="1" x14ac:dyDescent="0.25"/>
    <row r="929" s="3" customFormat="1" x14ac:dyDescent="0.25"/>
    <row r="930" s="3" customFormat="1" x14ac:dyDescent="0.25"/>
    <row r="931" s="3" customFormat="1" x14ac:dyDescent="0.25"/>
    <row r="932" s="3" customFormat="1" x14ac:dyDescent="0.25"/>
    <row r="933" s="3" customFormat="1" x14ac:dyDescent="0.25"/>
    <row r="934" s="3" customFormat="1" x14ac:dyDescent="0.25"/>
    <row r="935" s="3" customFormat="1" x14ac:dyDescent="0.25"/>
    <row r="936" s="3" customFormat="1" x14ac:dyDescent="0.25"/>
    <row r="937" s="3" customFormat="1" x14ac:dyDescent="0.25"/>
    <row r="938" s="3" customFormat="1" x14ac:dyDescent="0.25"/>
    <row r="939" s="3" customFormat="1" x14ac:dyDescent="0.25"/>
    <row r="940" s="3" customFormat="1" x14ac:dyDescent="0.25"/>
    <row r="941" s="3" customFormat="1" x14ac:dyDescent="0.25"/>
    <row r="942" s="3" customFormat="1" x14ac:dyDescent="0.25"/>
    <row r="943" s="3" customFormat="1" x14ac:dyDescent="0.25"/>
    <row r="944" s="3" customFormat="1" x14ac:dyDescent="0.25"/>
    <row r="945" s="3" customFormat="1" x14ac:dyDescent="0.25"/>
    <row r="946" s="3" customFormat="1" x14ac:dyDescent="0.25"/>
    <row r="947" s="3" customFormat="1" x14ac:dyDescent="0.25"/>
    <row r="948" s="3" customFormat="1" x14ac:dyDescent="0.25"/>
    <row r="949" s="3" customFormat="1" x14ac:dyDescent="0.25"/>
    <row r="950" s="3" customFormat="1" x14ac:dyDescent="0.25"/>
    <row r="951" s="3" customFormat="1" x14ac:dyDescent="0.25"/>
    <row r="952" s="3" customFormat="1" x14ac:dyDescent="0.25"/>
    <row r="953" s="3" customFormat="1" x14ac:dyDescent="0.25"/>
    <row r="954" s="3" customFormat="1" x14ac:dyDescent="0.25"/>
    <row r="955" s="3" customFormat="1" x14ac:dyDescent="0.25"/>
    <row r="956" s="3" customFormat="1" x14ac:dyDescent="0.25"/>
    <row r="957" s="3" customFormat="1" x14ac:dyDescent="0.25"/>
    <row r="958" s="3" customFormat="1" x14ac:dyDescent="0.25"/>
    <row r="959" s="3" customFormat="1" x14ac:dyDescent="0.25"/>
    <row r="960" s="3" customFormat="1" x14ac:dyDescent="0.25"/>
    <row r="961" s="3" customFormat="1" x14ac:dyDescent="0.25"/>
    <row r="962" s="3" customFormat="1" x14ac:dyDescent="0.25"/>
    <row r="963" s="3" customFormat="1" x14ac:dyDescent="0.25"/>
    <row r="964" s="3" customFormat="1" x14ac:dyDescent="0.25"/>
    <row r="965" s="3" customFormat="1" x14ac:dyDescent="0.25"/>
    <row r="966" s="3" customFormat="1" x14ac:dyDescent="0.25"/>
    <row r="967" s="3" customFormat="1" x14ac:dyDescent="0.25"/>
    <row r="968" s="3" customFormat="1" x14ac:dyDescent="0.25"/>
    <row r="969" s="3" customFormat="1" x14ac:dyDescent="0.25"/>
    <row r="970" s="3" customFormat="1" x14ac:dyDescent="0.25"/>
    <row r="971" s="3" customFormat="1" x14ac:dyDescent="0.25"/>
    <row r="972" s="3" customFormat="1" x14ac:dyDescent="0.25"/>
    <row r="973" s="3" customFormat="1" x14ac:dyDescent="0.25"/>
    <row r="974" s="3" customFormat="1" x14ac:dyDescent="0.25"/>
    <row r="975" s="3" customFormat="1" x14ac:dyDescent="0.25"/>
    <row r="976" s="3" customFormat="1" x14ac:dyDescent="0.25"/>
    <row r="977" s="3" customFormat="1" x14ac:dyDescent="0.25"/>
    <row r="978" s="3" customFormat="1" x14ac:dyDescent="0.25"/>
    <row r="979" s="3" customFormat="1" x14ac:dyDescent="0.25"/>
    <row r="980" s="3" customFormat="1" x14ac:dyDescent="0.25"/>
    <row r="981" s="3" customFormat="1" x14ac:dyDescent="0.25"/>
    <row r="982" s="3" customFormat="1" x14ac:dyDescent="0.25"/>
    <row r="983" s="3" customFormat="1" x14ac:dyDescent="0.25"/>
    <row r="984" s="3" customFormat="1" x14ac:dyDescent="0.25"/>
    <row r="985" s="3" customFormat="1" x14ac:dyDescent="0.25"/>
    <row r="986" s="3" customFormat="1" x14ac:dyDescent="0.25"/>
    <row r="987" s="3" customFormat="1" x14ac:dyDescent="0.25"/>
    <row r="988" s="3" customFormat="1" x14ac:dyDescent="0.25"/>
    <row r="989" s="3" customFormat="1" x14ac:dyDescent="0.25"/>
    <row r="990" s="3" customFormat="1" x14ac:dyDescent="0.25"/>
    <row r="991" s="3" customFormat="1" x14ac:dyDescent="0.25"/>
    <row r="992" s="3" customFormat="1" x14ac:dyDescent="0.25"/>
    <row r="993" s="3" customFormat="1" x14ac:dyDescent="0.25"/>
    <row r="994" s="3" customFormat="1" x14ac:dyDescent="0.25"/>
    <row r="995" s="3" customFormat="1" x14ac:dyDescent="0.25"/>
    <row r="996" s="3" customFormat="1" x14ac:dyDescent="0.25"/>
    <row r="997" s="3" customFormat="1" x14ac:dyDescent="0.25"/>
    <row r="998" s="3" customFormat="1" x14ac:dyDescent="0.25"/>
    <row r="999" s="3" customFormat="1" x14ac:dyDescent="0.25"/>
    <row r="1000" s="3" customFormat="1" x14ac:dyDescent="0.25"/>
    <row r="1001" s="3" customFormat="1" x14ac:dyDescent="0.25"/>
    <row r="1002" s="3" customFormat="1" x14ac:dyDescent="0.25"/>
    <row r="1003" s="3" customFormat="1" x14ac:dyDescent="0.25"/>
    <row r="1004" s="3" customFormat="1" x14ac:dyDescent="0.25"/>
    <row r="1005" s="3" customFormat="1" x14ac:dyDescent="0.25"/>
    <row r="1006" s="3" customFormat="1" x14ac:dyDescent="0.25"/>
    <row r="1007" s="3" customFormat="1" x14ac:dyDescent="0.25"/>
    <row r="1008" s="3" customFormat="1" x14ac:dyDescent="0.25"/>
    <row r="1009" s="3" customFormat="1" x14ac:dyDescent="0.25"/>
    <row r="1010" s="3" customFormat="1" x14ac:dyDescent="0.25"/>
    <row r="1011" s="3" customFormat="1" x14ac:dyDescent="0.25"/>
    <row r="1012" s="3" customFormat="1" x14ac:dyDescent="0.25"/>
    <row r="1013" s="3" customFormat="1" x14ac:dyDescent="0.25"/>
    <row r="1014" s="3" customFormat="1" x14ac:dyDescent="0.25"/>
    <row r="1015" s="3" customFormat="1" x14ac:dyDescent="0.25"/>
    <row r="1016" s="3" customFormat="1" x14ac:dyDescent="0.25"/>
    <row r="1017" s="3" customFormat="1" x14ac:dyDescent="0.25"/>
    <row r="1018" s="3" customFormat="1" x14ac:dyDescent="0.25"/>
    <row r="1019" s="3" customFormat="1" x14ac:dyDescent="0.25"/>
    <row r="1020" s="3" customFormat="1" x14ac:dyDescent="0.25"/>
    <row r="1021" s="3" customFormat="1" x14ac:dyDescent="0.25"/>
    <row r="1022" s="3" customFormat="1" x14ac:dyDescent="0.25"/>
    <row r="1023" s="3" customFormat="1" x14ac:dyDescent="0.25"/>
    <row r="1024" s="3" customFormat="1" x14ac:dyDescent="0.25"/>
    <row r="1025" s="3" customFormat="1" x14ac:dyDescent="0.25"/>
    <row r="1026" s="3" customFormat="1" x14ac:dyDescent="0.25"/>
    <row r="1027" s="3" customFormat="1" x14ac:dyDescent="0.25"/>
    <row r="1028" s="3" customFormat="1" x14ac:dyDescent="0.25"/>
    <row r="1029" s="3" customFormat="1" x14ac:dyDescent="0.25"/>
    <row r="1030" s="3" customFormat="1" x14ac:dyDescent="0.25"/>
    <row r="1031" s="3" customFormat="1" x14ac:dyDescent="0.25"/>
    <row r="1032" s="3" customFormat="1" x14ac:dyDescent="0.25"/>
    <row r="1033" s="3" customFormat="1" x14ac:dyDescent="0.25"/>
    <row r="1034" s="3" customFormat="1" x14ac:dyDescent="0.25"/>
    <row r="1035" s="3" customFormat="1" x14ac:dyDescent="0.25"/>
    <row r="1036" s="3" customFormat="1" x14ac:dyDescent="0.25"/>
    <row r="1037" s="3" customFormat="1" x14ac:dyDescent="0.25"/>
    <row r="1038" s="3" customFormat="1" x14ac:dyDescent="0.25"/>
    <row r="1039" s="3" customFormat="1" x14ac:dyDescent="0.25"/>
    <row r="1040" s="3" customFormat="1" x14ac:dyDescent="0.25"/>
    <row r="1041" s="3" customFormat="1" x14ac:dyDescent="0.25"/>
    <row r="1042" s="3" customFormat="1" x14ac:dyDescent="0.25"/>
    <row r="1043" s="3" customFormat="1" x14ac:dyDescent="0.25"/>
    <row r="1044" s="3" customFormat="1" x14ac:dyDescent="0.25"/>
    <row r="1045" s="3" customFormat="1" x14ac:dyDescent="0.25"/>
    <row r="1046" s="3" customFormat="1" x14ac:dyDescent="0.25"/>
    <row r="1047" s="3" customFormat="1" x14ac:dyDescent="0.25"/>
    <row r="1048" s="3" customFormat="1" x14ac:dyDescent="0.25"/>
    <row r="1049" s="3" customFormat="1" x14ac:dyDescent="0.25"/>
    <row r="1050" s="3" customFormat="1" x14ac:dyDescent="0.25"/>
    <row r="1051" s="3" customFormat="1" x14ac:dyDescent="0.25"/>
    <row r="1052" s="3" customFormat="1" x14ac:dyDescent="0.25"/>
    <row r="1053" s="3" customFormat="1" x14ac:dyDescent="0.25"/>
    <row r="1054" s="3" customFormat="1" x14ac:dyDescent="0.25"/>
    <row r="1055" s="3" customFormat="1" x14ac:dyDescent="0.25"/>
    <row r="1056" s="3" customFormat="1" x14ac:dyDescent="0.25"/>
    <row r="1057" s="3" customFormat="1" x14ac:dyDescent="0.25"/>
    <row r="1058" s="3" customFormat="1" x14ac:dyDescent="0.25"/>
    <row r="1059" s="3" customFormat="1" x14ac:dyDescent="0.25"/>
    <row r="1060" s="3" customFormat="1" x14ac:dyDescent="0.25"/>
    <row r="1061" s="3" customFormat="1" x14ac:dyDescent="0.25"/>
    <row r="1062" s="3" customFormat="1" x14ac:dyDescent="0.25"/>
    <row r="1063" s="3" customFormat="1" x14ac:dyDescent="0.25"/>
    <row r="1064" s="3" customFormat="1" x14ac:dyDescent="0.25"/>
    <row r="1065" s="3" customFormat="1" x14ac:dyDescent="0.25"/>
    <row r="1066" s="3" customFormat="1" x14ac:dyDescent="0.25"/>
    <row r="1067" s="3" customFormat="1" x14ac:dyDescent="0.25"/>
    <row r="1068" s="3" customFormat="1" x14ac:dyDescent="0.25"/>
    <row r="1069" s="3" customFormat="1" x14ac:dyDescent="0.25"/>
    <row r="1070" s="3" customFormat="1" x14ac:dyDescent="0.25"/>
    <row r="1071" s="3" customFormat="1" x14ac:dyDescent="0.25"/>
    <row r="1072" s="3" customFormat="1" x14ac:dyDescent="0.25"/>
    <row r="1073" s="3" customFormat="1" x14ac:dyDescent="0.25"/>
    <row r="1074" s="3" customFormat="1" x14ac:dyDescent="0.25"/>
    <row r="1075" s="3" customFormat="1" x14ac:dyDescent="0.25"/>
    <row r="1076" s="3" customFormat="1" x14ac:dyDescent="0.25"/>
    <row r="1077" s="3" customFormat="1" x14ac:dyDescent="0.25"/>
    <row r="1078" s="3" customFormat="1" x14ac:dyDescent="0.25"/>
    <row r="1079" s="3" customFormat="1" x14ac:dyDescent="0.25"/>
    <row r="1080" s="3" customFormat="1" x14ac:dyDescent="0.25"/>
    <row r="1081" s="3" customFormat="1" x14ac:dyDescent="0.25"/>
    <row r="1082" s="3" customFormat="1" x14ac:dyDescent="0.25"/>
    <row r="1083" s="3" customFormat="1" x14ac:dyDescent="0.25"/>
    <row r="1084" s="3" customFormat="1" x14ac:dyDescent="0.25"/>
    <row r="1085" s="3" customFormat="1" x14ac:dyDescent="0.25"/>
    <row r="1086" s="3" customFormat="1" x14ac:dyDescent="0.25"/>
    <row r="1087" s="3" customFormat="1" x14ac:dyDescent="0.25"/>
    <row r="1088" s="3" customFormat="1" x14ac:dyDescent="0.25"/>
    <row r="1089" s="3" customFormat="1" x14ac:dyDescent="0.25"/>
    <row r="1090" s="3" customFormat="1" x14ac:dyDescent="0.25"/>
    <row r="1091" s="3" customFormat="1" x14ac:dyDescent="0.25"/>
    <row r="1092" s="3" customFormat="1" x14ac:dyDescent="0.25"/>
    <row r="1093" s="3" customFormat="1" x14ac:dyDescent="0.25"/>
    <row r="1094" s="3" customFormat="1" x14ac:dyDescent="0.25"/>
    <row r="1095" s="3" customFormat="1" x14ac:dyDescent="0.25"/>
    <row r="1096" s="3" customFormat="1" x14ac:dyDescent="0.25"/>
    <row r="1097" s="3" customFormat="1" x14ac:dyDescent="0.25"/>
    <row r="1098" s="3" customFormat="1" x14ac:dyDescent="0.25"/>
    <row r="1099" s="3" customFormat="1" x14ac:dyDescent="0.25"/>
    <row r="1100" s="3" customFormat="1" x14ac:dyDescent="0.25"/>
    <row r="1101" s="3" customFormat="1" x14ac:dyDescent="0.25"/>
    <row r="1102" s="3" customFormat="1" x14ac:dyDescent="0.25"/>
    <row r="1103" s="3" customFormat="1" x14ac:dyDescent="0.25"/>
    <row r="1104" s="3" customFormat="1" x14ac:dyDescent="0.25"/>
    <row r="1105" s="3" customFormat="1" x14ac:dyDescent="0.25"/>
    <row r="1106" s="3" customFormat="1" x14ac:dyDescent="0.25"/>
    <row r="1107" s="3" customFormat="1" x14ac:dyDescent="0.25"/>
    <row r="1108" s="3" customFormat="1" x14ac:dyDescent="0.25"/>
    <row r="1109" s="3" customFormat="1" x14ac:dyDescent="0.25"/>
    <row r="1110" s="3" customFormat="1" x14ac:dyDescent="0.25"/>
    <row r="1111" s="3" customFormat="1" x14ac:dyDescent="0.25"/>
    <row r="1112" s="3" customFormat="1" x14ac:dyDescent="0.25"/>
    <row r="1113" s="3" customFormat="1" x14ac:dyDescent="0.25"/>
    <row r="1114" s="3" customFormat="1" x14ac:dyDescent="0.25"/>
    <row r="1115" s="3" customFormat="1" x14ac:dyDescent="0.25"/>
    <row r="1116" s="3" customFormat="1" x14ac:dyDescent="0.25"/>
    <row r="1117" s="3" customFormat="1" x14ac:dyDescent="0.25"/>
    <row r="1118" s="3" customFormat="1" x14ac:dyDescent="0.25"/>
    <row r="1119" s="3" customFormat="1" x14ac:dyDescent="0.25"/>
    <row r="1120" s="3" customFormat="1" x14ac:dyDescent="0.25"/>
    <row r="1121" s="3" customFormat="1" x14ac:dyDescent="0.25"/>
    <row r="1122" s="3" customFormat="1" x14ac:dyDescent="0.25"/>
    <row r="1123" s="3" customFormat="1" x14ac:dyDescent="0.25"/>
    <row r="1124" s="3" customFormat="1" x14ac:dyDescent="0.25"/>
    <row r="1125" s="3" customFormat="1" x14ac:dyDescent="0.25"/>
    <row r="1126" s="3" customFormat="1" x14ac:dyDescent="0.25"/>
    <row r="1127" s="3" customFormat="1" x14ac:dyDescent="0.25"/>
    <row r="1128" s="3" customFormat="1" x14ac:dyDescent="0.25"/>
    <row r="1129" s="3" customFormat="1" x14ac:dyDescent="0.25"/>
    <row r="1130" s="3" customFormat="1" x14ac:dyDescent="0.25"/>
    <row r="1131" s="3" customFormat="1" x14ac:dyDescent="0.25"/>
    <row r="1132" s="3" customFormat="1" x14ac:dyDescent="0.25"/>
    <row r="1133" s="3" customFormat="1" x14ac:dyDescent="0.25"/>
    <row r="1134" s="3" customFormat="1" x14ac:dyDescent="0.25"/>
    <row r="1135" s="3" customFormat="1" x14ac:dyDescent="0.25"/>
    <row r="1136" s="3" customFormat="1" x14ac:dyDescent="0.25"/>
    <row r="1137" s="3" customFormat="1" x14ac:dyDescent="0.25"/>
    <row r="1138" s="3" customFormat="1" x14ac:dyDescent="0.25"/>
    <row r="1139" s="3" customFormat="1" x14ac:dyDescent="0.25"/>
    <row r="1140" s="3" customFormat="1" x14ac:dyDescent="0.25"/>
    <row r="1141" s="3" customFormat="1" x14ac:dyDescent="0.25"/>
    <row r="1142" s="3" customFormat="1" x14ac:dyDescent="0.25"/>
    <row r="1143" s="3" customFormat="1" x14ac:dyDescent="0.25"/>
    <row r="1144" s="3" customFormat="1" x14ac:dyDescent="0.25"/>
    <row r="1145" s="3" customFormat="1" x14ac:dyDescent="0.25"/>
    <row r="1146" s="3" customFormat="1" x14ac:dyDescent="0.25"/>
    <row r="1147" s="3" customFormat="1" x14ac:dyDescent="0.25"/>
    <row r="1148" s="3" customFormat="1" x14ac:dyDescent="0.25"/>
    <row r="1149" s="3" customFormat="1" x14ac:dyDescent="0.25"/>
    <row r="1150" s="3" customFormat="1" x14ac:dyDescent="0.25"/>
    <row r="1151" s="3" customFormat="1" x14ac:dyDescent="0.25"/>
    <row r="1152" s="3" customFormat="1" x14ac:dyDescent="0.25"/>
    <row r="1153" s="3" customFormat="1" x14ac:dyDescent="0.25"/>
    <row r="1154" s="3" customFormat="1" x14ac:dyDescent="0.25"/>
    <row r="1155" s="3" customFormat="1" x14ac:dyDescent="0.25"/>
    <row r="1156" s="3" customFormat="1" x14ac:dyDescent="0.25"/>
    <row r="1157" s="3" customFormat="1" x14ac:dyDescent="0.25"/>
    <row r="1158" s="3" customFormat="1" x14ac:dyDescent="0.25"/>
    <row r="1159" s="3" customFormat="1" x14ac:dyDescent="0.25"/>
    <row r="1160" s="3" customFormat="1" x14ac:dyDescent="0.25"/>
    <row r="1161" s="3" customFormat="1" x14ac:dyDescent="0.25"/>
    <row r="1162" s="3" customFormat="1" x14ac:dyDescent="0.25"/>
    <row r="1163" s="3" customFormat="1" x14ac:dyDescent="0.25"/>
    <row r="1164" s="3" customFormat="1" x14ac:dyDescent="0.25"/>
    <row r="1165" s="3" customFormat="1" x14ac:dyDescent="0.25"/>
    <row r="1166" s="3" customFormat="1" x14ac:dyDescent="0.25"/>
    <row r="1167" s="3" customFormat="1" x14ac:dyDescent="0.25"/>
    <row r="1168" s="3" customFormat="1" x14ac:dyDescent="0.25"/>
    <row r="1169" spans="1:4" s="3" customFormat="1" x14ac:dyDescent="0.25"/>
    <row r="1170" spans="1:4" x14ac:dyDescent="0.25">
      <c r="A1170" s="3"/>
      <c r="B1170" s="3"/>
      <c r="C1170" s="3"/>
      <c r="D1170" s="3"/>
    </row>
    <row r="1171" spans="1:4" x14ac:dyDescent="0.25">
      <c r="A1171" s="3"/>
      <c r="B1171" s="3"/>
      <c r="C1171" s="3"/>
      <c r="D1171" s="3"/>
    </row>
    <row r="1172" spans="1:4" x14ac:dyDescent="0.25">
      <c r="A1172" s="3"/>
      <c r="B1172" s="3"/>
      <c r="C1172" s="3"/>
      <c r="D1172" s="3"/>
    </row>
    <row r="1173" spans="1:4" x14ac:dyDescent="0.25">
      <c r="A1173" s="3"/>
      <c r="B1173" s="3"/>
      <c r="C1173" s="3"/>
      <c r="D1173" s="3"/>
    </row>
    <row r="1174" spans="1:4" x14ac:dyDescent="0.25">
      <c r="A1174" s="3"/>
      <c r="B1174" s="3"/>
      <c r="C1174" s="3"/>
      <c r="D1174" s="3"/>
    </row>
    <row r="1175" spans="1:4" x14ac:dyDescent="0.25">
      <c r="A1175" s="3"/>
      <c r="B1175" s="3"/>
      <c r="C1175" s="3"/>
      <c r="D1175" s="3"/>
    </row>
    <row r="1176" spans="1:4" x14ac:dyDescent="0.25">
      <c r="A1176" s="3"/>
      <c r="B1176" s="3"/>
      <c r="C1176" s="3"/>
      <c r="D1176" s="3"/>
    </row>
    <row r="1177" spans="1:4" x14ac:dyDescent="0.25">
      <c r="A1177" s="3"/>
      <c r="B1177" s="3"/>
      <c r="C1177" s="3"/>
      <c r="D1177" s="3"/>
    </row>
    <row r="1178" spans="1:4" x14ac:dyDescent="0.25">
      <c r="A1178" s="3"/>
      <c r="B1178" s="3"/>
      <c r="C1178" s="3"/>
      <c r="D1178" s="3"/>
    </row>
    <row r="1179" spans="1:4" x14ac:dyDescent="0.25">
      <c r="A1179" s="3"/>
      <c r="B1179" s="3"/>
      <c r="C1179" s="3"/>
      <c r="D1179" s="3"/>
    </row>
    <row r="1180" spans="1:4" x14ac:dyDescent="0.25">
      <c r="A1180" s="3"/>
      <c r="B1180" s="3"/>
      <c r="C1180" s="3"/>
      <c r="D1180" s="3"/>
    </row>
    <row r="1181" spans="1:4" x14ac:dyDescent="0.25">
      <c r="A1181" s="3"/>
      <c r="B1181" s="3"/>
      <c r="C1181" s="3"/>
      <c r="D1181" s="3"/>
    </row>
    <row r="1182" spans="1:4" x14ac:dyDescent="0.25">
      <c r="A1182" s="3"/>
      <c r="B1182" s="3"/>
      <c r="C1182" s="3"/>
      <c r="D1182" s="3"/>
    </row>
    <row r="1183" spans="1:4" x14ac:dyDescent="0.25">
      <c r="A1183" s="3"/>
      <c r="B1183" s="3"/>
      <c r="C1183" s="3"/>
      <c r="D1183" s="3"/>
    </row>
    <row r="1184" spans="1:4" x14ac:dyDescent="0.25">
      <c r="A1184" s="3"/>
      <c r="B1184" s="3"/>
      <c r="C1184" s="3"/>
      <c r="D1184" s="3"/>
    </row>
    <row r="1185" spans="1:4" x14ac:dyDescent="0.25">
      <c r="A1185" s="3"/>
      <c r="B1185" s="3"/>
      <c r="C1185" s="3"/>
      <c r="D1185" s="3"/>
    </row>
    <row r="1186" spans="1:4" x14ac:dyDescent="0.25">
      <c r="A1186" s="3"/>
      <c r="B1186" s="3"/>
      <c r="C1186" s="3"/>
      <c r="D1186" s="3"/>
    </row>
    <row r="1187" spans="1:4" x14ac:dyDescent="0.25">
      <c r="A1187" s="3"/>
      <c r="B1187" s="3"/>
      <c r="C1187" s="3"/>
      <c r="D1187" s="3"/>
    </row>
    <row r="1188" spans="1:4" x14ac:dyDescent="0.25">
      <c r="A1188" s="3"/>
      <c r="B1188" s="3"/>
      <c r="C1188" s="3"/>
      <c r="D1188" s="3"/>
    </row>
    <row r="1189" spans="1:4" x14ac:dyDescent="0.25">
      <c r="A1189" s="3"/>
      <c r="B1189" s="3"/>
      <c r="C1189" s="3"/>
      <c r="D1189" s="3"/>
    </row>
    <row r="1190" spans="1:4" x14ac:dyDescent="0.25">
      <c r="A1190" s="3"/>
      <c r="B1190" s="3"/>
      <c r="C1190" s="3"/>
      <c r="D1190" s="3"/>
    </row>
    <row r="1191" spans="1:4" x14ac:dyDescent="0.25">
      <c r="A1191" s="3"/>
      <c r="B1191" s="3"/>
      <c r="C1191" s="3"/>
      <c r="D1191" s="3"/>
    </row>
    <row r="1192" spans="1:4" x14ac:dyDescent="0.25">
      <c r="A1192" s="3"/>
      <c r="B1192" s="3"/>
      <c r="C1192" s="3"/>
      <c r="D1192" s="3"/>
    </row>
    <row r="1193" spans="1:4" x14ac:dyDescent="0.25">
      <c r="A1193" s="3"/>
      <c r="B1193" s="3"/>
      <c r="C1193" s="3"/>
      <c r="D1193" s="3"/>
    </row>
    <row r="1194" spans="1:4" x14ac:dyDescent="0.25">
      <c r="A1194" s="3"/>
      <c r="B1194" s="3"/>
      <c r="C1194" s="3"/>
      <c r="D1194" s="3"/>
    </row>
    <row r="1195" spans="1:4" x14ac:dyDescent="0.25">
      <c r="A1195" s="3"/>
      <c r="B1195" s="3"/>
      <c r="C1195" s="3"/>
      <c r="D1195" s="3"/>
    </row>
    <row r="1196" spans="1:4" x14ac:dyDescent="0.25">
      <c r="A1196" s="3"/>
      <c r="B1196" s="3"/>
      <c r="C1196" s="3"/>
      <c r="D1196" s="3"/>
    </row>
    <row r="1197" spans="1:4" x14ac:dyDescent="0.25">
      <c r="A1197" s="3"/>
      <c r="B1197" s="3"/>
      <c r="C1197" s="3"/>
      <c r="D1197" s="3"/>
    </row>
    <row r="1198" spans="1:4" x14ac:dyDescent="0.25">
      <c r="A1198" s="3"/>
      <c r="B1198" s="3"/>
      <c r="C1198" s="3"/>
      <c r="D1198" s="3"/>
    </row>
    <row r="1199" spans="1:4" x14ac:dyDescent="0.25">
      <c r="A1199" s="3"/>
      <c r="B1199" s="3"/>
      <c r="C1199" s="3"/>
      <c r="D1199" s="3"/>
    </row>
    <row r="1200" spans="1:4" x14ac:dyDescent="0.25">
      <c r="A1200" s="3"/>
      <c r="B1200" s="3"/>
      <c r="C1200" s="3"/>
      <c r="D1200" s="3"/>
    </row>
    <row r="1201" spans="1:4" x14ac:dyDescent="0.25">
      <c r="A1201" s="3"/>
      <c r="B1201" s="3"/>
      <c r="C1201" s="3"/>
      <c r="D1201" s="3"/>
    </row>
    <row r="1202" spans="1:4" x14ac:dyDescent="0.25">
      <c r="A1202" s="3"/>
      <c r="B1202" s="3"/>
      <c r="C1202" s="3"/>
      <c r="D1202" s="3"/>
    </row>
    <row r="1203" spans="1:4" x14ac:dyDescent="0.25">
      <c r="A1203" s="3"/>
      <c r="B1203" s="3"/>
      <c r="C1203" s="3"/>
      <c r="D1203" s="3"/>
    </row>
    <row r="1204" spans="1:4" x14ac:dyDescent="0.25">
      <c r="A1204" s="3"/>
      <c r="B1204" s="3"/>
      <c r="C1204" s="3"/>
      <c r="D1204" s="3"/>
    </row>
    <row r="1205" spans="1:4" x14ac:dyDescent="0.25">
      <c r="A1205" s="3"/>
      <c r="B1205" s="3"/>
      <c r="C1205" s="3"/>
      <c r="D1205" s="3"/>
    </row>
    <row r="1206" spans="1:4" x14ac:dyDescent="0.25">
      <c r="A1206" s="3"/>
      <c r="B1206" s="3"/>
      <c r="C1206" s="3"/>
      <c r="D1206" s="3"/>
    </row>
    <row r="1207" spans="1:4" x14ac:dyDescent="0.25">
      <c r="A1207" s="3"/>
      <c r="B1207" s="3"/>
      <c r="C1207" s="3"/>
      <c r="D1207" s="3"/>
    </row>
    <row r="1208" spans="1:4" x14ac:dyDescent="0.25">
      <c r="A1208" s="3"/>
      <c r="B1208" s="3"/>
      <c r="C1208" s="3"/>
      <c r="D1208" s="3"/>
    </row>
    <row r="1209" spans="1:4" x14ac:dyDescent="0.25">
      <c r="A1209" s="3"/>
      <c r="B1209" s="3"/>
      <c r="C1209" s="3"/>
      <c r="D1209" s="3"/>
    </row>
    <row r="1210" spans="1:4" x14ac:dyDescent="0.25">
      <c r="A1210" s="3"/>
      <c r="B1210" s="3"/>
      <c r="C1210" s="3"/>
      <c r="D1210" s="3"/>
    </row>
    <row r="1211" spans="1:4" x14ac:dyDescent="0.25">
      <c r="A1211" s="3"/>
      <c r="B1211" s="3"/>
      <c r="C1211" s="3"/>
      <c r="D1211" s="3"/>
    </row>
    <row r="1212" spans="1:4" x14ac:dyDescent="0.25">
      <c r="A1212" s="3"/>
      <c r="B1212" s="3"/>
      <c r="C1212" s="3"/>
      <c r="D1212" s="3"/>
    </row>
    <row r="1213" spans="1:4" x14ac:dyDescent="0.25">
      <c r="A1213" s="3"/>
      <c r="B1213" s="3"/>
      <c r="C1213" s="3"/>
      <c r="D1213" s="3"/>
    </row>
    <row r="1214" spans="1:4" x14ac:dyDescent="0.25">
      <c r="A1214" s="3"/>
      <c r="B1214" s="3"/>
      <c r="C1214" s="3"/>
      <c r="D1214" s="3"/>
    </row>
    <row r="1215" spans="1:4" x14ac:dyDescent="0.25">
      <c r="A1215" s="3"/>
      <c r="B1215" s="3"/>
      <c r="C1215" s="3"/>
      <c r="D1215" s="3"/>
    </row>
    <row r="1216" spans="1:4" x14ac:dyDescent="0.25">
      <c r="A1216" s="3"/>
      <c r="B1216" s="3"/>
      <c r="C1216" s="3"/>
      <c r="D1216" s="3"/>
    </row>
    <row r="1217" spans="1:4" x14ac:dyDescent="0.25">
      <c r="A1217" s="3"/>
      <c r="B1217" s="3"/>
      <c r="C1217" s="3"/>
      <c r="D1217" s="3"/>
    </row>
    <row r="1218" spans="1:4" x14ac:dyDescent="0.25">
      <c r="A1218" s="3"/>
      <c r="B1218" s="3"/>
      <c r="C1218" s="3"/>
      <c r="D1218" s="3"/>
    </row>
    <row r="1219" spans="1:4" x14ac:dyDescent="0.25">
      <c r="A1219" s="3"/>
      <c r="B1219" s="3"/>
      <c r="C1219" s="3"/>
      <c r="D1219" s="3"/>
    </row>
    <row r="1220" spans="1:4" x14ac:dyDescent="0.25">
      <c r="A1220" s="3"/>
      <c r="B1220" s="3"/>
      <c r="C1220" s="3"/>
      <c r="D1220" s="3"/>
    </row>
    <row r="1221" spans="1:4" x14ac:dyDescent="0.25">
      <c r="A1221" s="3"/>
      <c r="B1221" s="3"/>
      <c r="C1221" s="3"/>
      <c r="D1221" s="3"/>
    </row>
    <row r="1222" spans="1:4" x14ac:dyDescent="0.25">
      <c r="A1222" s="3"/>
      <c r="B1222" s="3"/>
      <c r="C1222" s="3"/>
      <c r="D1222" s="3"/>
    </row>
    <row r="1223" spans="1:4" x14ac:dyDescent="0.25">
      <c r="A1223" s="3"/>
      <c r="B1223" s="3"/>
      <c r="C1223" s="3"/>
      <c r="D1223" s="3"/>
    </row>
    <row r="1224" spans="1:4" x14ac:dyDescent="0.25">
      <c r="A1224" s="3"/>
      <c r="B1224" s="3"/>
      <c r="C1224" s="3"/>
      <c r="D1224" s="3"/>
    </row>
    <row r="1225" spans="1:4" x14ac:dyDescent="0.25">
      <c r="A1225" s="3"/>
      <c r="B1225" s="3"/>
      <c r="C1225" s="3"/>
      <c r="D1225" s="3"/>
    </row>
    <row r="1226" spans="1:4" x14ac:dyDescent="0.25">
      <c r="A1226" s="3"/>
      <c r="B1226" s="3"/>
      <c r="C1226" s="3"/>
      <c r="D1226" s="3"/>
    </row>
    <row r="1227" spans="1:4" x14ac:dyDescent="0.25">
      <c r="A1227" s="3"/>
      <c r="B1227" s="3"/>
      <c r="C1227" s="3"/>
      <c r="D1227" s="3"/>
    </row>
    <row r="1228" spans="1:4" x14ac:dyDescent="0.25">
      <c r="A1228" s="3"/>
      <c r="B1228" s="3"/>
      <c r="C1228" s="3"/>
      <c r="D1228" s="3"/>
    </row>
    <row r="1229" spans="1:4" x14ac:dyDescent="0.25">
      <c r="A1229" s="3"/>
      <c r="B1229" s="3"/>
      <c r="C1229" s="3"/>
      <c r="D1229" s="3"/>
    </row>
    <row r="1230" spans="1:4" x14ac:dyDescent="0.25">
      <c r="A1230" s="3"/>
      <c r="B1230" s="3"/>
      <c r="C1230" s="3"/>
      <c r="D1230" s="3"/>
    </row>
    <row r="1231" spans="1:4" x14ac:dyDescent="0.25">
      <c r="A1231" s="3"/>
      <c r="B1231" s="3"/>
      <c r="C1231" s="3"/>
      <c r="D1231" s="3"/>
    </row>
    <row r="1232" spans="1:4" x14ac:dyDescent="0.25">
      <c r="A1232" s="3"/>
      <c r="B1232" s="3"/>
      <c r="C1232" s="3"/>
      <c r="D1232" s="3"/>
    </row>
    <row r="1233" spans="1:4" x14ac:dyDescent="0.25">
      <c r="A1233" s="3"/>
      <c r="B1233" s="3"/>
      <c r="C1233" s="3"/>
      <c r="D1233" s="3"/>
    </row>
    <row r="1234" spans="1:4" x14ac:dyDescent="0.25">
      <c r="A1234" s="3"/>
      <c r="D1234" s="3"/>
    </row>
    <row r="1235" spans="1:4" x14ac:dyDescent="0.25">
      <c r="A1235" s="3"/>
    </row>
  </sheetData>
  <sheetProtection insertRows="0" insertHyperlinks="0" deleteRows="0"/>
  <mergeCells count="9">
    <mergeCell ref="A3:A4"/>
    <mergeCell ref="A5:A8"/>
    <mergeCell ref="C5:D5"/>
    <mergeCell ref="C6:D6"/>
    <mergeCell ref="F3:F8"/>
    <mergeCell ref="B1:D1"/>
    <mergeCell ref="B2:D2"/>
    <mergeCell ref="C3:D3"/>
    <mergeCell ref="C8:D8"/>
  </mergeCells>
  <phoneticPr fontId="38" type="noConversion"/>
  <pageMargins left="0.78740157480314965" right="0.78740157480314965" top="0.98425196850393704" bottom="0.98425196850393704" header="0.51181102362204722" footer="0.51181102362204722"/>
  <pageSetup paperSize="9" orientation="portrait" r:id="rId1"/>
  <headerFooter alignWithMargins="0">
    <oddFooter>&amp;L&amp;8© Robert Bosch GmbH reserves all rights even in the event of industrial property rights. We reserve all rights of disposal such as copying and passing on to third parties.</oddFooter>
  </headerFooter>
  <drawing r:id="rId2"/>
  <legacyDrawing r:id="rId3"/>
  <controls>
    <mc:AlternateContent xmlns:mc="http://schemas.openxmlformats.org/markup-compatibility/2006">
      <mc:Choice Requires="x14">
        <control shapeId="13314" r:id="rId4" name="CheckBox21">
          <controlPr autoLine="0" r:id="rId5">
            <anchor moveWithCells="1" sizeWithCells="1">
              <from>
                <xdr:col>3</xdr:col>
                <xdr:colOff>1854200</xdr:colOff>
                <xdr:row>0</xdr:row>
                <xdr:rowOff>0</xdr:rowOff>
              </from>
              <to>
                <xdr:col>3</xdr:col>
                <xdr:colOff>1854200</xdr:colOff>
                <xdr:row>0</xdr:row>
                <xdr:rowOff>0</xdr:rowOff>
              </to>
            </anchor>
          </controlPr>
        </control>
      </mc:Choice>
      <mc:Fallback>
        <control shapeId="13314" r:id="rId4" name="CheckBox21"/>
      </mc:Fallback>
    </mc:AlternateContent>
    <mc:AlternateContent xmlns:mc="http://schemas.openxmlformats.org/markup-compatibility/2006">
      <mc:Choice Requires="x14">
        <control shapeId="13315" r:id="rId6" name="CheckBox22">
          <controlPr autoLine="0" autoPict="0" r:id="rId7">
            <anchor moveWithCells="1" sizeWithCells="1">
              <from>
                <xdr:col>3</xdr:col>
                <xdr:colOff>25400</xdr:colOff>
                <xdr:row>0</xdr:row>
                <xdr:rowOff>0</xdr:rowOff>
              </from>
              <to>
                <xdr:col>3</xdr:col>
                <xdr:colOff>25400</xdr:colOff>
                <xdr:row>0</xdr:row>
                <xdr:rowOff>0</xdr:rowOff>
              </to>
            </anchor>
          </controlPr>
        </control>
      </mc:Choice>
      <mc:Fallback>
        <control shapeId="13315" r:id="rId6" name="CheckBox22"/>
      </mc:Fallback>
    </mc:AlternateContent>
    <mc:AlternateContent xmlns:mc="http://schemas.openxmlformats.org/markup-compatibility/2006">
      <mc:Choice Requires="x14">
        <control shapeId="13388" r:id="rId8" name="Button 76">
          <controlPr defaultSize="0" print="0" autoFill="0" autoPict="0" macro="[0]!GetCurrentUser_Spec">
            <anchor moveWithCells="1" sizeWithCells="1">
              <from>
                <xdr:col>2</xdr:col>
                <xdr:colOff>2038350</xdr:colOff>
                <xdr:row>3</xdr:row>
                <xdr:rowOff>527050</xdr:rowOff>
              </from>
              <to>
                <xdr:col>2</xdr:col>
                <xdr:colOff>2336800</xdr:colOff>
                <xdr:row>4</xdr:row>
                <xdr:rowOff>0</xdr:rowOff>
              </to>
            </anchor>
          </controlPr>
        </control>
      </mc:Choice>
    </mc:AlternateContent>
    <mc:AlternateContent xmlns:mc="http://schemas.openxmlformats.org/markup-compatibility/2006">
      <mc:Choice Requires="x14">
        <control shapeId="13389" r:id="rId9" name="Button 77">
          <controlPr defaultSize="0" print="0" autoFill="0" autoPict="0" macro="[0]!GetCurrentUser_Execution">
            <anchor moveWithCells="1" sizeWithCells="1">
              <from>
                <xdr:col>2</xdr:col>
                <xdr:colOff>2038350</xdr:colOff>
                <xdr:row>6</xdr:row>
                <xdr:rowOff>527050</xdr:rowOff>
              </from>
              <to>
                <xdr:col>2</xdr:col>
                <xdr:colOff>2336800</xdr:colOff>
                <xdr:row>7</xdr:row>
                <xdr:rowOff>0</xdr:rowOff>
              </to>
            </anchor>
          </controlPr>
        </control>
      </mc:Choice>
    </mc:AlternateContent>
    <mc:AlternateContent xmlns:mc="http://schemas.openxmlformats.org/markup-compatibility/2006">
      <mc:Choice Requires="x14">
        <control shapeId="13390" r:id="rId10" name="Button 78">
          <controlPr defaultSize="0" print="0" autoFill="0" autoPict="0" macro="[0]!GetCurrentDate_Spec">
            <anchor moveWithCells="1" sizeWithCells="1">
              <from>
                <xdr:col>3</xdr:col>
                <xdr:colOff>1238250</xdr:colOff>
                <xdr:row>3</xdr:row>
                <xdr:rowOff>488950</xdr:rowOff>
              </from>
              <to>
                <xdr:col>3</xdr:col>
                <xdr:colOff>1765300</xdr:colOff>
                <xdr:row>4</xdr:row>
                <xdr:rowOff>0</xdr:rowOff>
              </to>
            </anchor>
          </controlPr>
        </control>
      </mc:Choice>
    </mc:AlternateContent>
    <mc:AlternateContent xmlns:mc="http://schemas.openxmlformats.org/markup-compatibility/2006">
      <mc:Choice Requires="x14">
        <control shapeId="13391" r:id="rId11" name="Button 79">
          <controlPr defaultSize="0" print="0" autoFill="0" autoPict="0" macro="[0]!GetCurrentDate_Execution">
            <anchor moveWithCells="1" sizeWithCells="1">
              <from>
                <xdr:col>3</xdr:col>
                <xdr:colOff>1238250</xdr:colOff>
                <xdr:row>6</xdr:row>
                <xdr:rowOff>488950</xdr:rowOff>
              </from>
              <to>
                <xdr:col>3</xdr:col>
                <xdr:colOff>1765300</xdr:colOff>
                <xdr:row>7</xdr:row>
                <xdr:rowOff>0</xdr:rowOff>
              </to>
            </anchor>
          </controlPr>
        </control>
      </mc:Choice>
    </mc:AlternateContent>
    <mc:AlternateContent xmlns:mc="http://schemas.openxmlformats.org/markup-compatibility/2006">
      <mc:Choice Requires="x14">
        <control shapeId="13393" r:id="rId12" name="Button 81">
          <controlPr defaultSize="0" print="0" autoFill="0" autoPict="0" macro="[0]!NoUT">
            <anchor moveWithCells="1" sizeWithCells="1">
              <from>
                <xdr:col>3</xdr:col>
                <xdr:colOff>1060450</xdr:colOff>
                <xdr:row>7</xdr:row>
                <xdr:rowOff>203200</xdr:rowOff>
              </from>
              <to>
                <xdr:col>3</xdr:col>
                <xdr:colOff>1765300</xdr:colOff>
                <xdr:row>7</xdr:row>
                <xdr:rowOff>450850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
  <sheetViews>
    <sheetView workbookViewId="0"/>
  </sheetViews>
  <sheetFormatPr defaultColWidth="11.453125" defaultRowHeight="12.5" x14ac:dyDescent="0.25"/>
  <sheetData>
    <row r="2" spans="1:1" x14ac:dyDescent="0.25">
      <c r="A2" t="s">
        <v>22</v>
      </c>
    </row>
  </sheetData>
  <phoneticPr fontId="38"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tabColor rgb="FF7FD3D7"/>
  </sheetPr>
  <dimension ref="A1:AM1137"/>
  <sheetViews>
    <sheetView showGridLines="0" tabSelected="1" zoomScale="85" zoomScaleNormal="85" workbookViewId="0">
      <pane ySplit="2" topLeftCell="A3" activePane="bottomLeft" state="frozen"/>
      <selection pane="bottomLeft" activeCell="O9" sqref="O9"/>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23.26953125" style="1" customWidth="1"/>
    <col min="7" max="7" width="34" style="1" customWidth="1"/>
    <col min="8" max="8" width="30.26953125" style="1" customWidth="1"/>
    <col min="9" max="9" width="10.453125" style="1" customWidth="1"/>
    <col min="10" max="10" width="14.26953125" style="1" customWidth="1"/>
    <col min="11" max="11" width="17.453125" style="1" customWidth="1"/>
    <col min="12" max="12" width="13.7265625" style="1" customWidth="1"/>
    <col min="13" max="13" width="38" style="1" customWidth="1"/>
    <col min="14" max="14" width="34.81640625" style="1" customWidth="1"/>
    <col min="15" max="15" width="25" style="1" customWidth="1"/>
    <col min="16" max="16" width="17.54296875" style="1" customWidth="1"/>
    <col min="17" max="16384" width="5.7265625" style="1"/>
  </cols>
  <sheetData>
    <row r="1" spans="1:39" ht="87"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336.5" thickTop="1" x14ac:dyDescent="0.3">
      <c r="A3" s="31"/>
      <c r="B3" s="38" t="s">
        <v>119</v>
      </c>
      <c r="C3" s="39" t="s">
        <v>120</v>
      </c>
      <c r="D3" s="39" t="s">
        <v>121</v>
      </c>
      <c r="E3" s="40"/>
      <c r="F3" s="39" t="s">
        <v>180</v>
      </c>
      <c r="G3" s="39" t="s">
        <v>182</v>
      </c>
      <c r="H3" s="39" t="s">
        <v>124</v>
      </c>
      <c r="I3" s="41" t="s">
        <v>122</v>
      </c>
      <c r="J3" s="41" t="s">
        <v>123</v>
      </c>
      <c r="K3" s="41"/>
      <c r="L3" s="42" t="s">
        <v>75</v>
      </c>
      <c r="M3" s="43"/>
      <c r="N3" s="42" t="s">
        <v>183</v>
      </c>
      <c r="O3" s="43"/>
      <c r="AB3" s="18"/>
      <c r="AC3" s="18"/>
      <c r="AD3" s="18"/>
      <c r="AE3" s="18"/>
      <c r="AF3" s="18"/>
      <c r="AG3" s="18"/>
      <c r="AK3" s="18"/>
      <c r="AL3" s="18"/>
      <c r="AM3" s="18"/>
    </row>
    <row r="4" spans="1:39" s="32" customFormat="1" ht="56" x14ac:dyDescent="0.3">
      <c r="A4" s="31"/>
      <c r="B4" s="38" t="s">
        <v>125</v>
      </c>
      <c r="C4" s="39" t="s">
        <v>126</v>
      </c>
      <c r="D4" s="39" t="s">
        <v>126</v>
      </c>
      <c r="E4" s="30" t="s">
        <v>176</v>
      </c>
      <c r="F4" s="39" t="s">
        <v>180</v>
      </c>
      <c r="G4" s="28" t="s">
        <v>181</v>
      </c>
      <c r="H4" s="28" t="s">
        <v>127</v>
      </c>
      <c r="I4" s="41" t="s">
        <v>122</v>
      </c>
      <c r="J4" s="41" t="s">
        <v>123</v>
      </c>
      <c r="K4" s="25"/>
      <c r="L4" s="42" t="s">
        <v>75</v>
      </c>
      <c r="M4" s="27"/>
      <c r="N4" s="42" t="s">
        <v>183</v>
      </c>
      <c r="O4" s="27"/>
      <c r="AB4" s="18"/>
      <c r="AC4" s="18"/>
      <c r="AD4" s="18"/>
      <c r="AE4" s="18"/>
      <c r="AF4" s="18"/>
      <c r="AG4" s="18"/>
      <c r="AK4" s="18"/>
      <c r="AL4" s="18"/>
      <c r="AM4" s="18"/>
    </row>
    <row r="5" spans="1:39" s="32" customFormat="1" ht="70" x14ac:dyDescent="0.3">
      <c r="A5" s="31"/>
      <c r="B5" s="38" t="s">
        <v>128</v>
      </c>
      <c r="C5" s="39" t="s">
        <v>126</v>
      </c>
      <c r="D5" s="39" t="s">
        <v>126</v>
      </c>
      <c r="E5" s="30" t="s">
        <v>176</v>
      </c>
      <c r="F5" s="39" t="s">
        <v>180</v>
      </c>
      <c r="G5" s="28" t="s">
        <v>130</v>
      </c>
      <c r="H5" s="28" t="s">
        <v>129</v>
      </c>
      <c r="I5" s="41" t="s">
        <v>122</v>
      </c>
      <c r="J5" s="41" t="s">
        <v>123</v>
      </c>
      <c r="K5" s="25"/>
      <c r="L5" s="42" t="s">
        <v>75</v>
      </c>
      <c r="M5" s="27"/>
      <c r="N5" s="42" t="s">
        <v>183</v>
      </c>
      <c r="O5" s="27"/>
      <c r="AB5" s="18"/>
      <c r="AC5" s="18"/>
      <c r="AD5" s="18"/>
      <c r="AE5" s="18"/>
      <c r="AF5" s="18"/>
      <c r="AG5" s="18"/>
      <c r="AK5" s="18"/>
      <c r="AL5" s="18"/>
      <c r="AM5" s="18"/>
    </row>
    <row r="6" spans="1:39" s="32" customFormat="1" ht="70" x14ac:dyDescent="0.3">
      <c r="A6" s="31"/>
      <c r="B6" s="38" t="s">
        <v>133</v>
      </c>
      <c r="C6" s="39" t="s">
        <v>126</v>
      </c>
      <c r="D6" s="39" t="s">
        <v>126</v>
      </c>
      <c r="E6" s="30" t="s">
        <v>176</v>
      </c>
      <c r="F6" s="39" t="s">
        <v>180</v>
      </c>
      <c r="G6" s="28" t="s">
        <v>131</v>
      </c>
      <c r="H6" s="28" t="s">
        <v>132</v>
      </c>
      <c r="I6" s="41" t="s">
        <v>122</v>
      </c>
      <c r="J6" s="41" t="s">
        <v>123</v>
      </c>
      <c r="K6" s="25"/>
      <c r="L6" s="42" t="s">
        <v>75</v>
      </c>
      <c r="M6" s="27"/>
      <c r="N6" s="42" t="s">
        <v>183</v>
      </c>
      <c r="O6" s="27"/>
      <c r="AB6" s="18"/>
      <c r="AC6" s="18"/>
      <c r="AD6" s="18"/>
      <c r="AE6" s="18"/>
      <c r="AF6" s="18"/>
      <c r="AG6" s="18"/>
      <c r="AK6" s="18"/>
      <c r="AL6" s="18"/>
      <c r="AM6" s="18"/>
    </row>
    <row r="7" spans="1:39" s="32" customFormat="1" ht="70" x14ac:dyDescent="0.3">
      <c r="A7" s="31"/>
      <c r="B7" s="38" t="s">
        <v>134</v>
      </c>
      <c r="C7" s="39" t="s">
        <v>126</v>
      </c>
      <c r="D7" s="39" t="s">
        <v>126</v>
      </c>
      <c r="E7" s="30" t="s">
        <v>176</v>
      </c>
      <c r="F7" s="39" t="s">
        <v>180</v>
      </c>
      <c r="G7" s="28" t="s">
        <v>135</v>
      </c>
      <c r="H7" s="28" t="s">
        <v>136</v>
      </c>
      <c r="I7" s="41" t="s">
        <v>122</v>
      </c>
      <c r="J7" s="41" t="s">
        <v>123</v>
      </c>
      <c r="K7" s="25"/>
      <c r="L7" s="42" t="s">
        <v>75</v>
      </c>
      <c r="M7" s="27"/>
      <c r="N7" s="42" t="s">
        <v>183</v>
      </c>
      <c r="O7" s="27"/>
      <c r="AB7" s="18"/>
      <c r="AC7" s="18"/>
      <c r="AD7" s="18"/>
      <c r="AE7" s="18"/>
      <c r="AF7" s="18"/>
      <c r="AG7" s="18"/>
      <c r="AK7" s="18"/>
      <c r="AL7" s="18"/>
      <c r="AM7" s="18"/>
    </row>
    <row r="8" spans="1:39" s="32" customFormat="1" ht="56" x14ac:dyDescent="0.3">
      <c r="A8" s="31"/>
      <c r="B8" s="38" t="s">
        <v>137</v>
      </c>
      <c r="C8" s="39" t="s">
        <v>138</v>
      </c>
      <c r="D8" s="39" t="s">
        <v>138</v>
      </c>
      <c r="E8" s="30" t="s">
        <v>177</v>
      </c>
      <c r="F8" s="39" t="s">
        <v>180</v>
      </c>
      <c r="G8" s="28" t="s">
        <v>139</v>
      </c>
      <c r="H8" s="28" t="s">
        <v>140</v>
      </c>
      <c r="I8" s="41" t="s">
        <v>122</v>
      </c>
      <c r="J8" s="41" t="s">
        <v>123</v>
      </c>
      <c r="K8" s="25"/>
      <c r="L8" s="42" t="s">
        <v>75</v>
      </c>
      <c r="M8" s="27"/>
      <c r="N8" s="42" t="s">
        <v>183</v>
      </c>
      <c r="O8" s="27"/>
      <c r="AB8" s="18"/>
      <c r="AC8" s="18"/>
      <c r="AD8" s="18"/>
      <c r="AE8" s="18"/>
      <c r="AF8" s="18"/>
      <c r="AG8" s="18"/>
      <c r="AK8" s="18"/>
      <c r="AL8" s="18"/>
      <c r="AM8" s="18"/>
    </row>
    <row r="9" spans="1:39" s="32" customFormat="1" ht="70" x14ac:dyDescent="0.3">
      <c r="A9" s="31"/>
      <c r="B9" s="38" t="s">
        <v>141</v>
      </c>
      <c r="C9" s="39" t="s">
        <v>138</v>
      </c>
      <c r="D9" s="39" t="s">
        <v>138</v>
      </c>
      <c r="E9" s="30" t="s">
        <v>177</v>
      </c>
      <c r="F9" s="39" t="s">
        <v>180</v>
      </c>
      <c r="G9" s="28" t="s">
        <v>142</v>
      </c>
      <c r="H9" s="28" t="s">
        <v>145</v>
      </c>
      <c r="I9" s="41" t="s">
        <v>122</v>
      </c>
      <c r="J9" s="41" t="s">
        <v>123</v>
      </c>
      <c r="K9" s="25"/>
      <c r="L9" s="42" t="s">
        <v>75</v>
      </c>
      <c r="M9" s="27"/>
      <c r="N9" s="42" t="s">
        <v>183</v>
      </c>
      <c r="O9" s="27"/>
      <c r="AB9" s="18"/>
      <c r="AC9" s="18"/>
      <c r="AD9" s="18"/>
      <c r="AE9" s="18"/>
      <c r="AF9" s="18"/>
      <c r="AG9" s="18"/>
      <c r="AK9" s="18"/>
      <c r="AL9" s="18"/>
      <c r="AM9" s="18"/>
    </row>
    <row r="10" spans="1:39" s="32" customFormat="1" ht="70" x14ac:dyDescent="0.3">
      <c r="A10" s="31"/>
      <c r="B10" s="38" t="s">
        <v>143</v>
      </c>
      <c r="C10" s="39" t="s">
        <v>138</v>
      </c>
      <c r="D10" s="39" t="s">
        <v>138</v>
      </c>
      <c r="E10" s="30" t="s">
        <v>177</v>
      </c>
      <c r="F10" s="39" t="s">
        <v>180</v>
      </c>
      <c r="G10" s="28" t="s">
        <v>144</v>
      </c>
      <c r="H10" s="28" t="s">
        <v>146</v>
      </c>
      <c r="I10" s="41" t="s">
        <v>122</v>
      </c>
      <c r="J10" s="41" t="s">
        <v>123</v>
      </c>
      <c r="K10" s="25"/>
      <c r="L10" s="42" t="s">
        <v>75</v>
      </c>
      <c r="M10" s="27"/>
      <c r="N10" s="42" t="s">
        <v>183</v>
      </c>
      <c r="O10" s="27"/>
      <c r="AB10" s="18"/>
      <c r="AC10" s="18"/>
      <c r="AD10" s="18"/>
      <c r="AE10" s="18"/>
      <c r="AF10" s="18"/>
      <c r="AG10" s="18"/>
      <c r="AK10" s="18"/>
      <c r="AL10" s="18"/>
      <c r="AM10" s="18"/>
    </row>
    <row r="11" spans="1:39" s="32" customFormat="1" ht="70" x14ac:dyDescent="0.3">
      <c r="A11" s="31"/>
      <c r="B11" s="38" t="s">
        <v>147</v>
      </c>
      <c r="C11" s="39" t="s">
        <v>138</v>
      </c>
      <c r="D11" s="39" t="s">
        <v>138</v>
      </c>
      <c r="E11" s="30" t="s">
        <v>177</v>
      </c>
      <c r="F11" s="39" t="s">
        <v>180</v>
      </c>
      <c r="G11" s="28" t="s">
        <v>148</v>
      </c>
      <c r="H11" s="28" t="s">
        <v>149</v>
      </c>
      <c r="I11" s="41" t="s">
        <v>122</v>
      </c>
      <c r="J11" s="41" t="s">
        <v>123</v>
      </c>
      <c r="K11" s="25"/>
      <c r="L11" s="42" t="s">
        <v>75</v>
      </c>
      <c r="M11" s="27"/>
      <c r="N11" s="42" t="s">
        <v>183</v>
      </c>
      <c r="O11" s="27"/>
      <c r="AB11" s="18"/>
      <c r="AC11" s="18"/>
      <c r="AD11" s="18"/>
      <c r="AE11" s="18"/>
      <c r="AF11" s="18"/>
      <c r="AG11" s="18"/>
      <c r="AK11" s="18"/>
      <c r="AL11" s="18"/>
      <c r="AM11" s="18"/>
    </row>
    <row r="12" spans="1:39" s="32" customFormat="1" ht="56" x14ac:dyDescent="0.3">
      <c r="A12" s="31"/>
      <c r="B12" s="38" t="s">
        <v>150</v>
      </c>
      <c r="C12" s="39" t="s">
        <v>151</v>
      </c>
      <c r="D12" s="39" t="s">
        <v>151</v>
      </c>
      <c r="E12" s="30" t="s">
        <v>178</v>
      </c>
      <c r="F12" s="39" t="s">
        <v>180</v>
      </c>
      <c r="G12" s="28" t="s">
        <v>152</v>
      </c>
      <c r="H12" s="28" t="s">
        <v>153</v>
      </c>
      <c r="I12" s="41" t="s">
        <v>122</v>
      </c>
      <c r="J12" s="41" t="s">
        <v>123</v>
      </c>
      <c r="K12" s="25"/>
      <c r="L12" s="42" t="s">
        <v>75</v>
      </c>
      <c r="M12" s="27"/>
      <c r="N12" s="42" t="s">
        <v>183</v>
      </c>
      <c r="O12" s="27"/>
      <c r="AB12" s="18"/>
      <c r="AC12" s="18"/>
      <c r="AD12" s="18"/>
      <c r="AE12" s="18"/>
      <c r="AF12" s="18"/>
      <c r="AG12" s="18"/>
      <c r="AK12" s="18"/>
      <c r="AL12" s="18"/>
      <c r="AM12" s="18"/>
    </row>
    <row r="13" spans="1:39" s="32" customFormat="1" ht="70" x14ac:dyDescent="0.3">
      <c r="A13" s="31"/>
      <c r="B13" s="38" t="s">
        <v>154</v>
      </c>
      <c r="C13" s="39" t="s">
        <v>151</v>
      </c>
      <c r="D13" s="39" t="s">
        <v>151</v>
      </c>
      <c r="E13" s="30" t="s">
        <v>178</v>
      </c>
      <c r="F13" s="39" t="s">
        <v>180</v>
      </c>
      <c r="G13" s="28" t="s">
        <v>156</v>
      </c>
      <c r="H13" s="28" t="s">
        <v>157</v>
      </c>
      <c r="I13" s="41" t="s">
        <v>122</v>
      </c>
      <c r="J13" s="41" t="s">
        <v>123</v>
      </c>
      <c r="K13" s="25"/>
      <c r="L13" s="42" t="s">
        <v>75</v>
      </c>
      <c r="M13" s="27"/>
      <c r="N13" s="42" t="s">
        <v>183</v>
      </c>
      <c r="O13" s="27"/>
      <c r="AB13" s="18"/>
      <c r="AC13" s="18"/>
      <c r="AD13" s="18"/>
      <c r="AE13" s="18"/>
      <c r="AF13" s="18"/>
      <c r="AG13" s="18"/>
      <c r="AK13" s="18"/>
      <c r="AL13" s="18"/>
      <c r="AM13" s="18"/>
    </row>
    <row r="14" spans="1:39" s="32" customFormat="1" ht="70" x14ac:dyDescent="0.3">
      <c r="A14" s="31"/>
      <c r="B14" s="38" t="s">
        <v>158</v>
      </c>
      <c r="C14" s="39" t="s">
        <v>151</v>
      </c>
      <c r="D14" s="39" t="s">
        <v>151</v>
      </c>
      <c r="E14" s="30" t="s">
        <v>178</v>
      </c>
      <c r="F14" s="39" t="s">
        <v>180</v>
      </c>
      <c r="G14" s="28" t="s">
        <v>159</v>
      </c>
      <c r="H14" s="28" t="s">
        <v>160</v>
      </c>
      <c r="I14" s="41" t="s">
        <v>122</v>
      </c>
      <c r="J14" s="41" t="s">
        <v>123</v>
      </c>
      <c r="K14" s="25"/>
      <c r="L14" s="42" t="s">
        <v>75</v>
      </c>
      <c r="M14" s="27"/>
      <c r="N14" s="42" t="s">
        <v>183</v>
      </c>
      <c r="O14" s="27"/>
      <c r="AB14" s="18"/>
      <c r="AC14" s="18"/>
      <c r="AD14" s="18"/>
      <c r="AE14" s="18"/>
      <c r="AF14" s="18"/>
      <c r="AG14" s="18"/>
      <c r="AK14" s="18"/>
      <c r="AL14" s="18"/>
      <c r="AM14" s="18"/>
    </row>
    <row r="15" spans="1:39" s="32" customFormat="1" ht="70" x14ac:dyDescent="0.3">
      <c r="A15" s="31"/>
      <c r="B15" s="38" t="s">
        <v>161</v>
      </c>
      <c r="C15" s="39" t="s">
        <v>151</v>
      </c>
      <c r="D15" s="39" t="s">
        <v>151</v>
      </c>
      <c r="E15" s="30" t="s">
        <v>178</v>
      </c>
      <c r="F15" s="39" t="s">
        <v>180</v>
      </c>
      <c r="G15" s="28" t="s">
        <v>155</v>
      </c>
      <c r="H15" s="28" t="s">
        <v>162</v>
      </c>
      <c r="I15" s="41" t="s">
        <v>122</v>
      </c>
      <c r="J15" s="41" t="s">
        <v>123</v>
      </c>
      <c r="K15" s="25"/>
      <c r="L15" s="42" t="s">
        <v>75</v>
      </c>
      <c r="M15" s="27"/>
      <c r="N15" s="42" t="s">
        <v>183</v>
      </c>
      <c r="O15" s="27"/>
      <c r="AB15" s="18"/>
      <c r="AC15" s="18"/>
      <c r="AD15" s="18"/>
      <c r="AE15" s="18"/>
      <c r="AF15" s="18"/>
      <c r="AG15" s="18"/>
      <c r="AK15" s="18"/>
      <c r="AL15" s="18"/>
      <c r="AM15" s="18"/>
    </row>
    <row r="16" spans="1:39" s="32" customFormat="1" ht="56" x14ac:dyDescent="0.3">
      <c r="A16" s="31"/>
      <c r="B16" s="38" t="s">
        <v>163</v>
      </c>
      <c r="C16" s="39" t="s">
        <v>164</v>
      </c>
      <c r="D16" s="39" t="s">
        <v>164</v>
      </c>
      <c r="E16" s="30" t="s">
        <v>179</v>
      </c>
      <c r="F16" s="39" t="s">
        <v>180</v>
      </c>
      <c r="G16" s="28" t="s">
        <v>165</v>
      </c>
      <c r="H16" s="28" t="s">
        <v>166</v>
      </c>
      <c r="I16" s="41" t="s">
        <v>122</v>
      </c>
      <c r="J16" s="41" t="s">
        <v>123</v>
      </c>
      <c r="K16" s="25"/>
      <c r="L16" s="42" t="s">
        <v>75</v>
      </c>
      <c r="M16" s="27"/>
      <c r="N16" s="42" t="s">
        <v>183</v>
      </c>
      <c r="O16" s="27"/>
      <c r="AB16" s="18"/>
      <c r="AC16" s="18"/>
      <c r="AD16" s="18"/>
      <c r="AE16" s="18"/>
      <c r="AF16" s="18"/>
      <c r="AG16" s="18"/>
      <c r="AK16" s="18"/>
      <c r="AL16" s="18"/>
      <c r="AM16" s="18"/>
    </row>
    <row r="17" spans="1:39" s="32" customFormat="1" ht="70" x14ac:dyDescent="0.3">
      <c r="A17" s="31"/>
      <c r="B17" s="38" t="s">
        <v>167</v>
      </c>
      <c r="C17" s="39" t="s">
        <v>164</v>
      </c>
      <c r="D17" s="39" t="s">
        <v>164</v>
      </c>
      <c r="E17" s="30" t="s">
        <v>179</v>
      </c>
      <c r="F17" s="39" t="s">
        <v>180</v>
      </c>
      <c r="G17" s="28" t="s">
        <v>168</v>
      </c>
      <c r="H17" s="28" t="s">
        <v>169</v>
      </c>
      <c r="I17" s="41" t="s">
        <v>122</v>
      </c>
      <c r="J17" s="41" t="s">
        <v>123</v>
      </c>
      <c r="K17" s="25"/>
      <c r="L17" s="42" t="s">
        <v>75</v>
      </c>
      <c r="M17" s="27"/>
      <c r="N17" s="42" t="s">
        <v>183</v>
      </c>
      <c r="O17" s="27"/>
      <c r="AB17" s="18"/>
      <c r="AC17" s="18"/>
      <c r="AD17" s="18"/>
      <c r="AE17" s="18"/>
      <c r="AF17" s="18"/>
      <c r="AG17" s="18"/>
      <c r="AK17" s="18"/>
      <c r="AL17" s="18"/>
      <c r="AM17" s="18"/>
    </row>
    <row r="18" spans="1:39" s="32" customFormat="1" ht="70" x14ac:dyDescent="0.3">
      <c r="A18" s="31"/>
      <c r="B18" s="38" t="s">
        <v>170</v>
      </c>
      <c r="C18" s="39" t="s">
        <v>164</v>
      </c>
      <c r="D18" s="39" t="s">
        <v>164</v>
      </c>
      <c r="E18" s="30" t="s">
        <v>179</v>
      </c>
      <c r="F18" s="39" t="s">
        <v>180</v>
      </c>
      <c r="G18" s="28" t="s">
        <v>171</v>
      </c>
      <c r="H18" s="28" t="s">
        <v>172</v>
      </c>
      <c r="I18" s="41" t="s">
        <v>122</v>
      </c>
      <c r="J18" s="41" t="s">
        <v>123</v>
      </c>
      <c r="K18" s="25"/>
      <c r="L18" s="42" t="s">
        <v>75</v>
      </c>
      <c r="M18" s="27"/>
      <c r="N18" s="42" t="s">
        <v>183</v>
      </c>
      <c r="O18" s="27"/>
      <c r="AB18" s="18"/>
      <c r="AC18" s="18"/>
      <c r="AD18" s="18"/>
      <c r="AE18" s="18"/>
      <c r="AF18" s="18"/>
      <c r="AG18" s="18"/>
      <c r="AK18" s="18"/>
      <c r="AL18" s="18"/>
      <c r="AM18" s="18"/>
    </row>
    <row r="19" spans="1:39" s="32" customFormat="1" ht="70" x14ac:dyDescent="0.3">
      <c r="A19" s="31"/>
      <c r="B19" s="38" t="s">
        <v>173</v>
      </c>
      <c r="C19" s="39" t="s">
        <v>164</v>
      </c>
      <c r="D19" s="39" t="s">
        <v>164</v>
      </c>
      <c r="E19" s="30" t="s">
        <v>179</v>
      </c>
      <c r="F19" s="39" t="s">
        <v>180</v>
      </c>
      <c r="G19" s="28" t="s">
        <v>174</v>
      </c>
      <c r="H19" s="28" t="s">
        <v>175</v>
      </c>
      <c r="I19" s="41" t="s">
        <v>122</v>
      </c>
      <c r="J19" s="41" t="s">
        <v>123</v>
      </c>
      <c r="K19" s="25"/>
      <c r="L19" s="42" t="s">
        <v>75</v>
      </c>
      <c r="M19" s="27"/>
      <c r="N19" s="42" t="s">
        <v>183</v>
      </c>
      <c r="O19" s="27"/>
      <c r="AB19" s="18"/>
      <c r="AC19" s="18"/>
      <c r="AD19" s="18"/>
      <c r="AE19" s="18"/>
      <c r="AF19" s="18"/>
      <c r="AG19" s="18"/>
      <c r="AK19" s="18"/>
      <c r="AL19" s="18"/>
      <c r="AM19" s="18"/>
    </row>
    <row r="20" spans="1:39" s="17" customFormat="1" ht="14" x14ac:dyDescent="0.3">
      <c r="A20" s="10"/>
      <c r="B20" s="11"/>
      <c r="C20" s="12"/>
      <c r="D20" s="12"/>
      <c r="E20" s="13"/>
      <c r="F20" s="12"/>
      <c r="G20" s="12"/>
      <c r="H20" s="12"/>
      <c r="I20" s="14"/>
      <c r="J20" s="14"/>
      <c r="K20" s="14"/>
      <c r="L20" s="15"/>
      <c r="M20" s="16"/>
      <c r="N20" s="15"/>
      <c r="O20" s="16"/>
      <c r="AK20" s="18"/>
      <c r="AL20" s="18"/>
      <c r="AM20" s="18"/>
    </row>
    <row r="21" spans="1:39" s="17" customFormat="1" ht="14" x14ac:dyDescent="0.3">
      <c r="A21" s="10"/>
      <c r="B21" s="11"/>
      <c r="C21" s="12"/>
      <c r="D21" s="12"/>
      <c r="E21" s="13"/>
      <c r="F21" s="12"/>
      <c r="G21" s="12"/>
      <c r="H21" s="12"/>
      <c r="I21" s="14"/>
      <c r="J21" s="14"/>
      <c r="K21" s="14"/>
      <c r="L21" s="15"/>
      <c r="M21" s="16"/>
      <c r="N21" s="15"/>
      <c r="O21" s="16"/>
      <c r="AK21" s="18"/>
      <c r="AL21" s="18"/>
      <c r="AM21" s="18"/>
    </row>
    <row r="22" spans="1:39" s="17" customFormat="1" ht="14" x14ac:dyDescent="0.3">
      <c r="A22" s="10"/>
      <c r="B22" s="11"/>
      <c r="C22" s="12"/>
      <c r="D22" s="12"/>
      <c r="E22" s="13"/>
      <c r="F22" s="12"/>
      <c r="G22" s="12"/>
      <c r="H22" s="12"/>
      <c r="I22" s="14"/>
      <c r="J22" s="14"/>
      <c r="K22" s="14"/>
      <c r="L22" s="15"/>
      <c r="M22" s="16"/>
      <c r="N22" s="15"/>
      <c r="O22" s="16"/>
      <c r="AK22" s="18"/>
      <c r="AL22" s="18"/>
      <c r="AM22" s="18"/>
    </row>
    <row r="23" spans="1:39" s="17" customFormat="1" ht="14" x14ac:dyDescent="0.3">
      <c r="A23" s="10"/>
      <c r="B23" s="11"/>
      <c r="C23" s="12"/>
      <c r="D23" s="12"/>
      <c r="E23" s="13"/>
      <c r="F23" s="12"/>
      <c r="G23" s="12"/>
      <c r="H23" s="12"/>
      <c r="I23" s="14"/>
      <c r="J23" s="14"/>
      <c r="K23" s="14"/>
      <c r="L23" s="15"/>
      <c r="M23" s="16"/>
      <c r="N23" s="15"/>
      <c r="O23" s="16"/>
      <c r="AK23" s="18"/>
      <c r="AL23" s="18"/>
      <c r="AM23" s="18"/>
    </row>
    <row r="24" spans="1:39" s="17" customFormat="1" ht="14" x14ac:dyDescent="0.3">
      <c r="A24" s="10"/>
      <c r="B24" s="11"/>
      <c r="C24" s="12"/>
      <c r="D24" s="12"/>
      <c r="E24" s="13"/>
      <c r="F24" s="12"/>
      <c r="G24" s="12"/>
      <c r="H24" s="12"/>
      <c r="I24" s="14"/>
      <c r="J24" s="14"/>
      <c r="K24" s="14"/>
      <c r="L24" s="15"/>
      <c r="M24" s="16"/>
      <c r="N24" s="15"/>
      <c r="O24" s="16"/>
      <c r="AK24" s="18"/>
      <c r="AL24" s="18"/>
      <c r="AM24" s="18"/>
    </row>
    <row r="25" spans="1:39" s="17" customFormat="1" ht="14" x14ac:dyDescent="0.3">
      <c r="A25" s="10"/>
      <c r="B25" s="11"/>
      <c r="C25" s="12"/>
      <c r="D25" s="12"/>
      <c r="E25" s="13"/>
      <c r="F25" s="12"/>
      <c r="G25" s="12"/>
      <c r="H25" s="12"/>
      <c r="I25" s="14"/>
      <c r="J25" s="14"/>
      <c r="K25" s="14"/>
      <c r="L25" s="15"/>
      <c r="M25" s="16"/>
      <c r="N25" s="15"/>
      <c r="O25" s="16"/>
      <c r="AK25" s="18"/>
      <c r="AL25" s="18"/>
      <c r="AM25" s="18"/>
    </row>
    <row r="26" spans="1:39" s="17" customFormat="1" ht="14" x14ac:dyDescent="0.3">
      <c r="A26" s="10"/>
      <c r="B26" s="11"/>
      <c r="C26" s="12"/>
      <c r="D26" s="12"/>
      <c r="E26" s="13"/>
      <c r="F26" s="12"/>
      <c r="G26" s="12"/>
      <c r="H26" s="12"/>
      <c r="I26" s="14"/>
      <c r="J26" s="14"/>
      <c r="K26" s="14"/>
      <c r="L26" s="15"/>
      <c r="M26" s="16"/>
      <c r="N26" s="15"/>
      <c r="O26" s="16"/>
      <c r="AK26" s="18"/>
      <c r="AL26" s="18"/>
      <c r="AM26" s="18"/>
    </row>
    <row r="27" spans="1:39" s="17" customFormat="1" ht="14" x14ac:dyDescent="0.3">
      <c r="A27" s="10"/>
      <c r="B27" s="11"/>
      <c r="C27" s="12"/>
      <c r="D27" s="12"/>
      <c r="E27" s="13"/>
      <c r="F27" s="12"/>
      <c r="G27" s="12"/>
      <c r="H27" s="12"/>
      <c r="I27" s="14"/>
      <c r="J27" s="14"/>
      <c r="K27" s="14"/>
      <c r="L27" s="15"/>
      <c r="M27" s="16"/>
      <c r="N27" s="15"/>
      <c r="O27" s="16"/>
      <c r="AK27" s="18"/>
      <c r="AL27" s="18"/>
      <c r="AM27" s="18"/>
    </row>
    <row r="28" spans="1:39" s="17" customFormat="1" ht="118.5" customHeight="1" x14ac:dyDescent="0.3">
      <c r="A28" s="10"/>
      <c r="B28" s="11"/>
      <c r="C28" s="12"/>
      <c r="D28" s="12"/>
      <c r="E28" s="13"/>
      <c r="F28" s="12"/>
      <c r="G28" s="12"/>
      <c r="H28" s="12"/>
      <c r="I28" s="14"/>
      <c r="J28" s="14"/>
      <c r="K28" s="14"/>
      <c r="L28" s="15"/>
      <c r="M28" s="16"/>
      <c r="N28" s="15"/>
      <c r="O28" s="16"/>
      <c r="AK28" s="18"/>
      <c r="AL28" s="18"/>
      <c r="AM28" s="18"/>
    </row>
    <row r="29" spans="1:39" s="17" customFormat="1" ht="14" x14ac:dyDescent="0.3">
      <c r="A29" s="10"/>
      <c r="B29" s="11"/>
      <c r="C29" s="12"/>
      <c r="D29" s="12"/>
      <c r="E29" s="13"/>
      <c r="F29" s="12"/>
      <c r="G29" s="12"/>
      <c r="H29" s="12"/>
      <c r="I29" s="14"/>
      <c r="J29" s="14"/>
      <c r="K29" s="14"/>
      <c r="L29" s="15"/>
      <c r="M29" s="16"/>
      <c r="N29" s="15"/>
      <c r="O29" s="16"/>
      <c r="AK29" s="18"/>
      <c r="AL29" s="18"/>
      <c r="AM29" s="18"/>
    </row>
    <row r="30" spans="1:39" s="17" customFormat="1" ht="14" x14ac:dyDescent="0.3">
      <c r="A30" s="10"/>
      <c r="B30" s="11"/>
      <c r="C30" s="12"/>
      <c r="D30" s="12"/>
      <c r="E30" s="13"/>
      <c r="F30" s="12"/>
      <c r="G30" s="12"/>
      <c r="H30" s="12"/>
      <c r="I30" s="14"/>
      <c r="J30" s="14"/>
      <c r="K30" s="14"/>
      <c r="L30" s="15"/>
      <c r="M30" s="16"/>
      <c r="N30" s="15"/>
      <c r="O30" s="16"/>
      <c r="AK30" s="18"/>
      <c r="AL30" s="18"/>
      <c r="AM30" s="18"/>
    </row>
    <row r="31" spans="1:39" s="17" customFormat="1" ht="14" x14ac:dyDescent="0.3">
      <c r="A31" s="10"/>
      <c r="B31" s="11"/>
      <c r="C31" s="12"/>
      <c r="D31" s="12"/>
      <c r="E31" s="13"/>
      <c r="F31" s="12"/>
      <c r="G31" s="12"/>
      <c r="H31" s="12"/>
      <c r="I31" s="14"/>
      <c r="J31" s="14"/>
      <c r="K31" s="14"/>
      <c r="L31" s="15"/>
      <c r="M31" s="16"/>
      <c r="N31" s="15"/>
      <c r="O31" s="16"/>
      <c r="AK31" s="18"/>
      <c r="AL31" s="18"/>
      <c r="AM31" s="18"/>
    </row>
    <row r="32" spans="1:39" s="17" customFormat="1" ht="14" x14ac:dyDescent="0.3">
      <c r="A32" s="10"/>
      <c r="B32" s="11"/>
      <c r="C32" s="12"/>
      <c r="D32" s="12"/>
      <c r="E32" s="13"/>
      <c r="F32" s="12"/>
      <c r="G32" s="12"/>
      <c r="H32" s="12"/>
      <c r="I32" s="14"/>
      <c r="J32" s="14"/>
      <c r="K32" s="14"/>
      <c r="L32" s="15"/>
      <c r="M32" s="16"/>
      <c r="N32" s="15"/>
      <c r="O32" s="16"/>
      <c r="AK32" s="18"/>
      <c r="AL32" s="18"/>
      <c r="AM32" s="18"/>
    </row>
    <row r="33" spans="1:15" s="17" customFormat="1" ht="14" x14ac:dyDescent="0.3">
      <c r="A33" s="10"/>
      <c r="B33" s="11"/>
      <c r="C33" s="12"/>
      <c r="D33" s="12"/>
      <c r="E33" s="13"/>
      <c r="F33" s="12"/>
      <c r="G33" s="12"/>
      <c r="H33" s="12"/>
      <c r="I33" s="14"/>
      <c r="J33" s="14"/>
      <c r="K33" s="14"/>
      <c r="L33" s="15"/>
      <c r="M33" s="16"/>
      <c r="N33" s="15"/>
      <c r="O33" s="16"/>
    </row>
    <row r="34" spans="1:15" s="17" customFormat="1" ht="14" x14ac:dyDescent="0.3">
      <c r="A34" s="10"/>
      <c r="B34" s="11"/>
      <c r="C34" s="12"/>
      <c r="D34" s="12"/>
      <c r="E34" s="13"/>
      <c r="F34" s="12"/>
      <c r="G34" s="12"/>
      <c r="H34" s="12"/>
      <c r="I34" s="14"/>
      <c r="J34" s="14"/>
      <c r="K34" s="14"/>
      <c r="L34" s="15"/>
      <c r="M34" s="16"/>
      <c r="N34" s="15"/>
      <c r="O34" s="16"/>
    </row>
    <row r="35" spans="1:15" s="17" customFormat="1" ht="44.25" customHeight="1" x14ac:dyDescent="0.3">
      <c r="A35" s="10"/>
      <c r="B35" s="11"/>
      <c r="C35" s="12"/>
      <c r="D35" s="12"/>
      <c r="E35" s="13"/>
      <c r="F35" s="12"/>
      <c r="G35" s="12"/>
      <c r="H35" s="12"/>
      <c r="I35" s="14"/>
      <c r="J35" s="14"/>
      <c r="K35" s="14"/>
      <c r="L35" s="15"/>
      <c r="M35" s="16"/>
      <c r="N35" s="15"/>
      <c r="O35" s="16"/>
    </row>
    <row r="36" spans="1:15" s="18" customFormat="1" ht="14" x14ac:dyDescent="0.25">
      <c r="E36" s="21"/>
      <c r="J36" s="14"/>
      <c r="L36" s="20"/>
    </row>
    <row r="37" spans="1:15" s="18" customFormat="1" ht="14" x14ac:dyDescent="0.25">
      <c r="E37" s="21"/>
      <c r="J37" s="14"/>
      <c r="L37" s="20"/>
    </row>
    <row r="38" spans="1:15" s="18" customFormat="1" ht="14" x14ac:dyDescent="0.25">
      <c r="E38" s="21"/>
      <c r="J38" s="14"/>
      <c r="L38" s="20"/>
    </row>
    <row r="39" spans="1:15" s="18" customFormat="1" ht="14" x14ac:dyDescent="0.25">
      <c r="E39" s="21"/>
      <c r="J39" s="14"/>
      <c r="L39" s="20"/>
    </row>
    <row r="40" spans="1:15" s="18" customFormat="1" ht="14" x14ac:dyDescent="0.25">
      <c r="E40" s="21"/>
      <c r="J40" s="14"/>
      <c r="L40" s="20"/>
    </row>
    <row r="41" spans="1:15" s="18" customFormat="1" ht="14" x14ac:dyDescent="0.25">
      <c r="E41" s="21"/>
      <c r="J41" s="14"/>
      <c r="L41" s="20"/>
    </row>
    <row r="42" spans="1:15" s="18" customFormat="1" ht="14" x14ac:dyDescent="0.25">
      <c r="E42" s="21"/>
      <c r="J42" s="14"/>
      <c r="L42" s="20"/>
    </row>
    <row r="43" spans="1:15" s="18" customFormat="1" ht="14" x14ac:dyDescent="0.25">
      <c r="E43" s="21"/>
      <c r="J43" s="14"/>
      <c r="L43" s="20"/>
    </row>
    <row r="44" spans="1:15" s="18" customFormat="1" ht="14" x14ac:dyDescent="0.25">
      <c r="E44" s="21"/>
      <c r="J44" s="14"/>
      <c r="L44" s="20"/>
    </row>
    <row r="45" spans="1:15" s="18" customFormat="1" ht="14" x14ac:dyDescent="0.25">
      <c r="J45" s="14"/>
    </row>
    <row r="46" spans="1:15" s="18" customFormat="1" ht="14" x14ac:dyDescent="0.25">
      <c r="J46" s="14"/>
    </row>
    <row r="47" spans="1:15" s="18" customFormat="1" ht="14" x14ac:dyDescent="0.25">
      <c r="J47" s="14"/>
    </row>
    <row r="48" spans="1:15" s="18" customFormat="1" ht="14" x14ac:dyDescent="0.25">
      <c r="J48" s="14"/>
    </row>
    <row r="49" spans="10:10" s="18" customFormat="1" ht="14" x14ac:dyDescent="0.25">
      <c r="J49" s="14"/>
    </row>
    <row r="50" spans="10:10" s="18" customFormat="1" ht="14" x14ac:dyDescent="0.25">
      <c r="J50" s="14"/>
    </row>
    <row r="51" spans="10:10" s="18" customFormat="1" ht="14" x14ac:dyDescent="0.25">
      <c r="J51" s="14"/>
    </row>
    <row r="52" spans="10:10" s="18" customFormat="1" ht="14" x14ac:dyDescent="0.25">
      <c r="J52" s="14"/>
    </row>
    <row r="53" spans="10:10" s="18" customFormat="1" ht="14" x14ac:dyDescent="0.25">
      <c r="J53" s="14"/>
    </row>
    <row r="54" spans="10:10" s="18" customFormat="1" ht="14" x14ac:dyDescent="0.25">
      <c r="J54" s="14"/>
    </row>
    <row r="55" spans="10:10" s="18" customFormat="1" ht="14" x14ac:dyDescent="0.25">
      <c r="J55" s="14"/>
    </row>
    <row r="56" spans="10:10" s="18" customFormat="1" ht="14" x14ac:dyDescent="0.25">
      <c r="J56" s="14"/>
    </row>
    <row r="57" spans="10:10" s="18" customFormat="1" ht="14" x14ac:dyDescent="0.25">
      <c r="J57" s="14"/>
    </row>
    <row r="58" spans="10:10" s="18" customFormat="1" ht="14" x14ac:dyDescent="0.25">
      <c r="J58" s="14"/>
    </row>
    <row r="59" spans="10:10" s="18" customFormat="1" ht="14" x14ac:dyDescent="0.25">
      <c r="J59" s="14"/>
    </row>
    <row r="60" spans="10:10" s="18" customFormat="1" ht="14" x14ac:dyDescent="0.25">
      <c r="J60" s="14"/>
    </row>
    <row r="61" spans="10:10" s="18" customFormat="1" ht="14" x14ac:dyDescent="0.25">
      <c r="J61" s="14"/>
    </row>
    <row r="62" spans="10:10" s="18" customFormat="1" ht="14" x14ac:dyDescent="0.25">
      <c r="J62" s="14"/>
    </row>
    <row r="63" spans="10:10" s="18" customFormat="1" ht="14" x14ac:dyDescent="0.25">
      <c r="J63" s="14"/>
    </row>
    <row r="64" spans="10:10" s="18" customFormat="1" ht="14" x14ac:dyDescent="0.25">
      <c r="J64" s="14"/>
    </row>
    <row r="65" spans="10:10" s="18" customFormat="1" ht="14" x14ac:dyDescent="0.25">
      <c r="J65" s="14"/>
    </row>
    <row r="66" spans="10:10" s="18" customFormat="1" ht="14" x14ac:dyDescent="0.25">
      <c r="J66" s="14"/>
    </row>
    <row r="67" spans="10:10" s="18" customFormat="1" ht="14" x14ac:dyDescent="0.25">
      <c r="J67" s="14"/>
    </row>
    <row r="68" spans="10:10" s="18" customFormat="1" ht="14" x14ac:dyDescent="0.25">
      <c r="J68" s="14"/>
    </row>
    <row r="69" spans="10:10" s="18" customFormat="1" ht="14" x14ac:dyDescent="0.25">
      <c r="J69" s="14"/>
    </row>
    <row r="70" spans="10:10" s="18" customFormat="1" ht="14" x14ac:dyDescent="0.25">
      <c r="J70" s="14"/>
    </row>
    <row r="71" spans="10:10" s="18" customFormat="1" ht="14" x14ac:dyDescent="0.25">
      <c r="J71" s="14"/>
    </row>
    <row r="72" spans="10:10" s="18" customFormat="1" ht="14" x14ac:dyDescent="0.25">
      <c r="J72" s="14"/>
    </row>
    <row r="73" spans="10:10" s="18" customFormat="1" ht="14" x14ac:dyDescent="0.25">
      <c r="J73" s="14"/>
    </row>
    <row r="74" spans="10:10" s="18" customFormat="1" ht="14" x14ac:dyDescent="0.25">
      <c r="J74" s="14"/>
    </row>
    <row r="75" spans="10:10" s="18" customFormat="1" ht="14" x14ac:dyDescent="0.25">
      <c r="J75" s="14"/>
    </row>
    <row r="76" spans="10:10" s="18" customFormat="1" ht="14" x14ac:dyDescent="0.25">
      <c r="J76" s="14"/>
    </row>
    <row r="77" spans="10:10" s="18" customFormat="1" ht="14" x14ac:dyDescent="0.25">
      <c r="J77" s="14"/>
    </row>
    <row r="78" spans="10:10" s="18" customFormat="1" ht="14" x14ac:dyDescent="0.25">
      <c r="J78" s="14"/>
    </row>
    <row r="79" spans="10:10" s="18" customFormat="1" ht="14" x14ac:dyDescent="0.25">
      <c r="J79" s="14"/>
    </row>
    <row r="80" spans="10:10" s="18" customFormat="1" ht="14" x14ac:dyDescent="0.25">
      <c r="J80" s="14"/>
    </row>
    <row r="81" spans="10:10" s="18" customFormat="1" ht="14" x14ac:dyDescent="0.25">
      <c r="J81" s="14"/>
    </row>
    <row r="82" spans="10:10" s="18" customFormat="1" ht="14" x14ac:dyDescent="0.25">
      <c r="J82" s="14"/>
    </row>
    <row r="83" spans="10:10" s="18" customFormat="1" ht="14" x14ac:dyDescent="0.25">
      <c r="J83" s="14"/>
    </row>
    <row r="84" spans="10:10" s="18" customFormat="1" ht="14" x14ac:dyDescent="0.25">
      <c r="J84" s="14"/>
    </row>
    <row r="85" spans="10:10" s="18" customFormat="1" ht="14" x14ac:dyDescent="0.25">
      <c r="J85" s="14"/>
    </row>
    <row r="86" spans="10:10" s="18" customFormat="1" ht="14" x14ac:dyDescent="0.25">
      <c r="J86" s="14"/>
    </row>
    <row r="87" spans="10:10" s="18" customFormat="1" ht="14" x14ac:dyDescent="0.25">
      <c r="J87" s="14"/>
    </row>
    <row r="88" spans="10:10" s="18" customFormat="1" ht="14" x14ac:dyDescent="0.25">
      <c r="J88" s="14"/>
    </row>
    <row r="89" spans="10:10" s="18" customFormat="1" ht="14" x14ac:dyDescent="0.25">
      <c r="J89" s="14"/>
    </row>
    <row r="90" spans="10:10" s="18" customFormat="1" ht="14" x14ac:dyDescent="0.25">
      <c r="J90" s="14"/>
    </row>
    <row r="91" spans="10:10" s="18" customFormat="1" ht="14" x14ac:dyDescent="0.25">
      <c r="J91" s="14"/>
    </row>
    <row r="92" spans="10:10" s="18" customFormat="1" ht="14" x14ac:dyDescent="0.25">
      <c r="J92" s="14"/>
    </row>
    <row r="93" spans="10:10" s="18" customFormat="1" ht="14" x14ac:dyDescent="0.25">
      <c r="J93" s="14"/>
    </row>
    <row r="94" spans="10:10" s="18" customFormat="1" ht="14" x14ac:dyDescent="0.25">
      <c r="J94" s="14"/>
    </row>
    <row r="95" spans="10:10" s="18" customFormat="1" ht="14" x14ac:dyDescent="0.25">
      <c r="J95" s="14"/>
    </row>
    <row r="96" spans="10:10" s="18" customFormat="1" ht="14" x14ac:dyDescent="0.25">
      <c r="J96" s="14"/>
    </row>
    <row r="97" spans="10:10" s="18" customFormat="1" ht="14" x14ac:dyDescent="0.25">
      <c r="J97" s="14"/>
    </row>
    <row r="98" spans="10:10" s="18" customFormat="1" ht="14" x14ac:dyDescent="0.25">
      <c r="J98" s="14"/>
    </row>
    <row r="99" spans="10:10" s="18" customFormat="1" ht="14" x14ac:dyDescent="0.25">
      <c r="J99" s="14"/>
    </row>
    <row r="100" spans="10:10" s="18" customFormat="1" ht="14" x14ac:dyDescent="0.25">
      <c r="J100" s="14"/>
    </row>
    <row r="101" spans="10:10" s="18" customFormat="1" ht="14" x14ac:dyDescent="0.25">
      <c r="J101" s="14"/>
    </row>
    <row r="102" spans="10:10" s="18" customFormat="1" ht="14" x14ac:dyDescent="0.25">
      <c r="J102" s="14"/>
    </row>
    <row r="103" spans="10:10" s="18" customFormat="1" ht="14" x14ac:dyDescent="0.25">
      <c r="J103" s="14"/>
    </row>
    <row r="104" spans="10:10" s="18" customFormat="1" ht="14" x14ac:dyDescent="0.25">
      <c r="J104" s="14"/>
    </row>
    <row r="105" spans="10:10" s="18" customFormat="1" ht="14" x14ac:dyDescent="0.25">
      <c r="J105" s="14"/>
    </row>
    <row r="106" spans="10:10" s="18" customFormat="1" ht="14" x14ac:dyDescent="0.25">
      <c r="J106" s="14"/>
    </row>
    <row r="107" spans="10:10" s="18" customFormat="1" ht="14" x14ac:dyDescent="0.25">
      <c r="J107" s="14"/>
    </row>
    <row r="108" spans="10:10" s="18" customFormat="1" ht="14" x14ac:dyDescent="0.25">
      <c r="J108" s="14"/>
    </row>
    <row r="109" spans="10:10" s="18" customFormat="1" ht="14" x14ac:dyDescent="0.25">
      <c r="J109" s="14"/>
    </row>
    <row r="110" spans="10:10" s="18" customFormat="1" ht="14" x14ac:dyDescent="0.25">
      <c r="J110" s="14"/>
    </row>
    <row r="111" spans="10:10" s="18" customFormat="1" ht="14" x14ac:dyDescent="0.25">
      <c r="J111" s="14"/>
    </row>
    <row r="112" spans="10:10" s="18" customFormat="1" ht="14" x14ac:dyDescent="0.25">
      <c r="J112" s="14"/>
    </row>
    <row r="113" spans="10:10" s="18" customFormat="1" ht="14" x14ac:dyDescent="0.25">
      <c r="J113" s="14"/>
    </row>
    <row r="114" spans="10:10" s="18" customFormat="1" ht="14" x14ac:dyDescent="0.25">
      <c r="J114" s="14"/>
    </row>
    <row r="115" spans="10:10" s="18" customFormat="1" ht="14" x14ac:dyDescent="0.25">
      <c r="J115" s="14"/>
    </row>
    <row r="116" spans="10:10" s="18" customFormat="1" ht="14" x14ac:dyDescent="0.25">
      <c r="J116" s="14"/>
    </row>
    <row r="117" spans="10:10" s="18" customFormat="1" ht="14" x14ac:dyDescent="0.25">
      <c r="J117" s="14"/>
    </row>
    <row r="118" spans="10:10" s="18" customFormat="1" x14ac:dyDescent="0.25"/>
    <row r="119" spans="10:10" s="18" customFormat="1" x14ac:dyDescent="0.25"/>
    <row r="120" spans="10:10" s="18" customFormat="1" x14ac:dyDescent="0.25"/>
    <row r="121" spans="10:10" s="18" customFormat="1" x14ac:dyDescent="0.25"/>
    <row r="122" spans="10:10" s="18" customFormat="1" x14ac:dyDescent="0.25"/>
    <row r="123" spans="10:10" s="18" customFormat="1" x14ac:dyDescent="0.25"/>
    <row r="124" spans="10:10" s="18" customFormat="1" x14ac:dyDescent="0.25"/>
    <row r="125" spans="10:10" s="18" customFormat="1" x14ac:dyDescent="0.25"/>
    <row r="126" spans="10:10" s="18" customFormat="1" x14ac:dyDescent="0.25"/>
    <row r="127" spans="10:10" s="18" customFormat="1" x14ac:dyDescent="0.25"/>
    <row r="128" spans="10:10"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row r="1129" s="18" customFormat="1" x14ac:dyDescent="0.25"/>
    <row r="1130" s="18" customFormat="1" x14ac:dyDescent="0.25"/>
    <row r="1131" s="18" customFormat="1" x14ac:dyDescent="0.25"/>
    <row r="1132" s="18" customFormat="1" x14ac:dyDescent="0.25"/>
    <row r="1133" s="18" customFormat="1" x14ac:dyDescent="0.25"/>
    <row r="1134" s="18" customFormat="1" x14ac:dyDescent="0.25"/>
    <row r="1135" s="18" customFormat="1" x14ac:dyDescent="0.25"/>
    <row r="1136" s="18" customFormat="1" x14ac:dyDescent="0.25"/>
    <row r="1137" s="18" customFormat="1" x14ac:dyDescent="0.25"/>
  </sheetData>
  <sheetProtection insertRows="0" insertHyperlinks="0" deleteRows="0"/>
  <autoFilter ref="D2:M35" xr:uid="{00000000-0009-0000-0000-000002000000}"/>
  <dataConsolidate topLabels="1"/>
  <phoneticPr fontId="38" type="noConversion"/>
  <conditionalFormatting sqref="M35">
    <cfRule type="expression" dxfId="146" priority="9991">
      <formula>$L35="EXEMPT"</formula>
    </cfRule>
  </conditionalFormatting>
  <conditionalFormatting sqref="O35">
    <cfRule type="expression" dxfId="145" priority="9978">
      <formula>#REF!="EXEMPT"</formula>
    </cfRule>
  </conditionalFormatting>
  <conditionalFormatting sqref="M34">
    <cfRule type="expression" dxfId="144" priority="6835">
      <formula>$L34="EXEMPT"</formula>
    </cfRule>
  </conditionalFormatting>
  <conditionalFormatting sqref="O34">
    <cfRule type="expression" dxfId="143" priority="6822">
      <formula>#REF!="EXEMPT"</formula>
    </cfRule>
  </conditionalFormatting>
  <conditionalFormatting sqref="M28">
    <cfRule type="expression" dxfId="142" priority="5850">
      <formula>$L28="EXEMPT"</formula>
    </cfRule>
  </conditionalFormatting>
  <conditionalFormatting sqref="O28">
    <cfRule type="expression" dxfId="141" priority="5837">
      <formula>#REF!="EXEMPT"</formula>
    </cfRule>
  </conditionalFormatting>
  <conditionalFormatting sqref="M33">
    <cfRule type="expression" dxfId="140" priority="4765">
      <formula>$L33="EXEMPT"</formula>
    </cfRule>
  </conditionalFormatting>
  <conditionalFormatting sqref="O33">
    <cfRule type="expression" dxfId="139" priority="4752">
      <formula>#REF!="EXEMPT"</formula>
    </cfRule>
  </conditionalFormatting>
  <conditionalFormatting sqref="M31">
    <cfRule type="expression" dxfId="138" priority="4618">
      <formula>$L31="EXEMPT"</formula>
    </cfRule>
  </conditionalFormatting>
  <conditionalFormatting sqref="O31">
    <cfRule type="expression" dxfId="137" priority="4605">
      <formula>#REF!="EXEMPT"</formula>
    </cfRule>
  </conditionalFormatting>
  <conditionalFormatting sqref="M32">
    <cfRule type="expression" dxfId="136" priority="4467">
      <formula>$L32="EXEMPT"</formula>
    </cfRule>
  </conditionalFormatting>
  <conditionalFormatting sqref="O32">
    <cfRule type="expression" dxfId="135" priority="4454">
      <formula>#REF!="EXEMPT"</formula>
    </cfRule>
  </conditionalFormatting>
  <conditionalFormatting sqref="M29">
    <cfRule type="expression" dxfId="134" priority="3188">
      <formula>$L29="EXEMPT"</formula>
    </cfRule>
  </conditionalFormatting>
  <conditionalFormatting sqref="O29">
    <cfRule type="expression" dxfId="133" priority="3184">
      <formula>#REF!="EXEMPT"</formula>
    </cfRule>
  </conditionalFormatting>
  <conditionalFormatting sqref="M30">
    <cfRule type="expression" dxfId="132" priority="3061">
      <formula>$L30="EXEMPT"</formula>
    </cfRule>
  </conditionalFormatting>
  <conditionalFormatting sqref="O30">
    <cfRule type="expression" dxfId="131" priority="3057">
      <formula>#REF!="EXEMPT"</formula>
    </cfRule>
  </conditionalFormatting>
  <conditionalFormatting sqref="M24">
    <cfRule type="expression" dxfId="130" priority="2779">
      <formula>$L24="EXEMPT"</formula>
    </cfRule>
  </conditionalFormatting>
  <conditionalFormatting sqref="O24">
    <cfRule type="expression" dxfId="129" priority="2775">
      <formula>#REF!="EXEMPT"</formula>
    </cfRule>
  </conditionalFormatting>
  <conditionalFormatting sqref="M25">
    <cfRule type="expression" dxfId="128" priority="2632">
      <formula>$L25="EXEMPT"</formula>
    </cfRule>
  </conditionalFormatting>
  <conditionalFormatting sqref="O25">
    <cfRule type="expression" dxfId="127" priority="2628">
      <formula>#REF!="EXEMPT"</formula>
    </cfRule>
  </conditionalFormatting>
  <conditionalFormatting sqref="M26">
    <cfRule type="expression" dxfId="126" priority="2481">
      <formula>$L26="EXEMPT"</formula>
    </cfRule>
  </conditionalFormatting>
  <conditionalFormatting sqref="O26">
    <cfRule type="expression" dxfId="125" priority="2477">
      <formula>#REF!="EXEMPT"</formula>
    </cfRule>
  </conditionalFormatting>
  <conditionalFormatting sqref="M27">
    <cfRule type="expression" dxfId="124" priority="2326">
      <formula>$L27="EXEMPT"</formula>
    </cfRule>
  </conditionalFormatting>
  <conditionalFormatting sqref="O27">
    <cfRule type="expression" dxfId="123" priority="2322">
      <formula>#REF!="EXEMPT"</formula>
    </cfRule>
  </conditionalFormatting>
  <conditionalFormatting sqref="M20">
    <cfRule type="expression" dxfId="122" priority="1551">
      <formula>$L20="EXEMPT"</formula>
    </cfRule>
  </conditionalFormatting>
  <conditionalFormatting sqref="O20">
    <cfRule type="expression" dxfId="121" priority="1547">
      <formula>#REF!="EXEMPT"</formula>
    </cfRule>
  </conditionalFormatting>
  <conditionalFormatting sqref="M21">
    <cfRule type="expression" dxfId="120" priority="1384">
      <formula>$L21="EXEMPT"</formula>
    </cfRule>
  </conditionalFormatting>
  <conditionalFormatting sqref="O21">
    <cfRule type="expression" dxfId="119" priority="1380">
      <formula>#REF!="EXEMPT"</formula>
    </cfRule>
  </conditionalFormatting>
  <conditionalFormatting sqref="M22">
    <cfRule type="expression" dxfId="118" priority="1213">
      <formula>$L22="EXEMPT"</formula>
    </cfRule>
  </conditionalFormatting>
  <conditionalFormatting sqref="O22">
    <cfRule type="expression" dxfId="117" priority="1209">
      <formula>#REF!="EXEMPT"</formula>
    </cfRule>
  </conditionalFormatting>
  <conditionalFormatting sqref="M23">
    <cfRule type="expression" dxfId="116" priority="1038">
      <formula>$L23="EXEMPT"</formula>
    </cfRule>
  </conditionalFormatting>
  <conditionalFormatting sqref="O23">
    <cfRule type="expression" dxfId="115" priority="1034">
      <formula>#REF!="EXEMPT"</formula>
    </cfRule>
  </conditionalFormatting>
  <conditionalFormatting sqref="M4">
    <cfRule type="expression" dxfId="114" priority="895">
      <formula>$L4="EXEMPT"</formula>
    </cfRule>
  </conditionalFormatting>
  <conditionalFormatting sqref="O4">
    <cfRule type="expression" dxfId="113" priority="891">
      <formula>#REF!="EXEMPT"</formula>
    </cfRule>
  </conditionalFormatting>
  <conditionalFormatting sqref="M5">
    <cfRule type="expression" dxfId="112" priority="748">
      <formula>$L5="EXEMPT"</formula>
    </cfRule>
  </conditionalFormatting>
  <conditionalFormatting sqref="O5">
    <cfRule type="expression" dxfId="111" priority="744">
      <formula>#REF!="EXEMPT"</formula>
    </cfRule>
  </conditionalFormatting>
  <conditionalFormatting sqref="M6">
    <cfRule type="expression" dxfId="110" priority="597">
      <formula>$L6="EXEMPT"</formula>
    </cfRule>
  </conditionalFormatting>
  <conditionalFormatting sqref="O6">
    <cfRule type="expression" dxfId="109" priority="593">
      <formula>#REF!="EXEMPT"</formula>
    </cfRule>
  </conditionalFormatting>
  <conditionalFormatting sqref="M7">
    <cfRule type="expression" dxfId="108" priority="442">
      <formula>$L7="EXEMPT"</formula>
    </cfRule>
  </conditionalFormatting>
  <conditionalFormatting sqref="O7">
    <cfRule type="expression" dxfId="107" priority="438">
      <formula>#REF!="EXEMPT"</formula>
    </cfRule>
  </conditionalFormatting>
  <conditionalFormatting sqref="M8">
    <cfRule type="expression" dxfId="106" priority="283">
      <formula>$L8="EXEMPT"</formula>
    </cfRule>
  </conditionalFormatting>
  <conditionalFormatting sqref="O8">
    <cfRule type="expression" dxfId="105" priority="279">
      <formula>#REF!="EXEMPT"</formula>
    </cfRule>
  </conditionalFormatting>
  <conditionalFormatting sqref="M9">
    <cfRule type="expression" dxfId="104" priority="156">
      <formula>$L9="EXEMPT"</formula>
    </cfRule>
  </conditionalFormatting>
  <conditionalFormatting sqref="O9">
    <cfRule type="expression" dxfId="103" priority="155">
      <formula>#REF!="EXEMPT"</formula>
    </cfRule>
  </conditionalFormatting>
  <conditionalFormatting sqref="M10">
    <cfRule type="expression" dxfId="102" priority="134">
      <formula>$L10="EXEMPT"</formula>
    </cfRule>
  </conditionalFormatting>
  <conditionalFormatting sqref="O10">
    <cfRule type="expression" dxfId="101" priority="133">
      <formula>#REF!="EXEMPT"</formula>
    </cfRule>
  </conditionalFormatting>
  <conditionalFormatting sqref="M11">
    <cfRule type="expression" dxfId="100" priority="79">
      <formula>$L11="EXEMPT"</formula>
    </cfRule>
  </conditionalFormatting>
  <conditionalFormatting sqref="O11">
    <cfRule type="expression" dxfId="99" priority="78">
      <formula>#REF!="EXEMPT"</formula>
    </cfRule>
  </conditionalFormatting>
  <conditionalFormatting sqref="M12:M19">
    <cfRule type="expression" dxfId="98" priority="68">
      <formula>$L12="EXEMPT"</formula>
    </cfRule>
  </conditionalFormatting>
  <conditionalFormatting sqref="O12:O19">
    <cfRule type="expression" dxfId="97" priority="67">
      <formula>#REF!="EXEMPT"</formula>
    </cfRule>
  </conditionalFormatting>
  <conditionalFormatting sqref="L1:L2 L20:L1048576">
    <cfRule type="containsText" dxfId="96" priority="157" operator="containsText" text="New">
      <formula>NOT(ISERROR(SEARCH("New",L1)))</formula>
    </cfRule>
    <cfRule type="containsText" dxfId="95" priority="158" operator="containsText" text="Impacted">
      <formula>NOT(ISERROR(SEARCH("Impacted",L1)))</formula>
    </cfRule>
    <cfRule type="containsText" dxfId="94" priority="159" operator="containsText" text="Approved">
      <formula>NOT(ISERROR(SEARCH("Approved",L1)))</formula>
    </cfRule>
    <cfRule type="containsText" dxfId="93" priority="160" operator="containsText" text="Modified">
      <formula>NOT(ISERROR(SEARCH("Modified",L1)))</formula>
    </cfRule>
    <cfRule type="containsText" dxfId="92" priority="162" operator="containsText" text="to be checked">
      <formula>NOT(ISERROR(SEARCH("to be checked",L1)))</formula>
    </cfRule>
  </conditionalFormatting>
  <conditionalFormatting sqref="N1:N2 N20:N1048576">
    <cfRule type="containsText" dxfId="91" priority="55" operator="containsText" text="EXEMPT">
      <formula>NOT(ISERROR(SEARCH("EXEMPT",N1)))</formula>
    </cfRule>
    <cfRule type="containsText" dxfId="90" priority="57" operator="containsText" text="OPEN">
      <formula>NOT(ISERROR(SEARCH("OPEN",N1)))</formula>
    </cfRule>
    <cfRule type="containsText" dxfId="89" priority="164" operator="containsText" text="FAILED">
      <formula>NOT(ISERROR(SEARCH("FAILED",N1)))</formula>
    </cfRule>
    <cfRule type="containsText" dxfId="88" priority="165" operator="containsText" text="PASSED">
      <formula>NOT(ISERROR(SEARCH("PASSED",N1)))</formula>
    </cfRule>
  </conditionalFormatting>
  <conditionalFormatting sqref="M3">
    <cfRule type="expression" dxfId="87" priority="13">
      <formula>$L3="EXEMPT"</formula>
    </cfRule>
  </conditionalFormatting>
  <conditionalFormatting sqref="O3">
    <cfRule type="expression" dxfId="86" priority="12">
      <formula>#REF!="EXEMPT"</formula>
    </cfRule>
  </conditionalFormatting>
  <conditionalFormatting sqref="L3:L19">
    <cfRule type="containsText" dxfId="85" priority="5" operator="containsText" text="New">
      <formula>NOT(ISERROR(SEARCH("New",L3)))</formula>
    </cfRule>
    <cfRule type="containsText" dxfId="84" priority="6" operator="containsText" text="Impacted">
      <formula>NOT(ISERROR(SEARCH("Impacted",L3)))</formula>
    </cfRule>
    <cfRule type="containsText" dxfId="83" priority="7" operator="containsText" text="Approved">
      <formula>NOT(ISERROR(SEARCH("Approved",L3)))</formula>
    </cfRule>
    <cfRule type="containsText" dxfId="82" priority="8" operator="containsText" text="Modified">
      <formula>NOT(ISERROR(SEARCH("Modified",L3)))</formula>
    </cfRule>
    <cfRule type="containsText" dxfId="81" priority="9" operator="containsText" text="to be checked">
      <formula>NOT(ISERROR(SEARCH("to be checked",L3)))</formula>
    </cfRule>
  </conditionalFormatting>
  <conditionalFormatting sqref="N3:N19">
    <cfRule type="containsText" dxfId="80" priority="2" operator="containsText" text="EXEMPT">
      <formula>NOT(ISERROR(SEARCH("EXEMPT",N3)))</formula>
    </cfRule>
    <cfRule type="containsText" dxfId="79" priority="4" operator="containsText" text="OPEN">
      <formula>NOT(ISERROR(SEARCH("OPEN",N3)))</formula>
    </cfRule>
    <cfRule type="containsText" dxfId="78" priority="10" operator="containsText" text="FAILED">
      <formula>NOT(ISERROR(SEARCH("FAILED",N3)))</formula>
    </cfRule>
    <cfRule type="containsText" dxfId="77" priority="11" operator="containsText" text="PASSED">
      <formula>NOT(ISERROR(SEARCH("PASSED",N3)))</formula>
    </cfRule>
  </conditionalFormatting>
  <dataValidations count="5">
    <dataValidation type="list" allowBlank="1" showInputMessage="1" showErrorMessage="1" sqref="I36:I44 I3:I30" xr:uid="{00000000-0002-0000-0200-000000000000}">
      <formula1>"BVA,EC,DT,STT,B2B,ExBas,Others"</formula1>
    </dataValidation>
    <dataValidation type="list" allowBlank="1" showInputMessage="1" showErrorMessage="1" sqref="I31:I35" xr:uid="{00000000-0002-0000-0200-000001000000}">
      <formula1>"EC,BVA,DT,STT,B2B,ExBas,Others"</formula1>
    </dataValidation>
    <dataValidation type="list" allowBlank="1" showInputMessage="1" showErrorMessage="1" sqref="L3:L44" xr:uid="{00000000-0002-0000-0200-000002000000}">
      <formula1>"New,To be checked,Modified,Approved,Impacted"</formula1>
    </dataValidation>
    <dataValidation type="list" allowBlank="1" showInputMessage="1" showErrorMessage="1" sqref="N3:N76" xr:uid="{00000000-0002-0000-0200-000003000000}">
      <formula1>"OPEN,OPEN - externally tracked,PASSED,FAILED,EXEMPT"</formula1>
    </dataValidation>
    <dataValidation type="list" allowBlank="1" showInputMessage="1" showErrorMessage="1" sqref="J3:J55" xr:uid="{00000000-0002-0000-0200-000004000000}">
      <formula1>"SIL,PIL,HWoL,HIL,Vehicle"</formula1>
    </dataValidation>
  </dataValidations>
  <hyperlinks>
    <hyperlink ref="I2" r:id="rId1" xr:uid="{00000000-0004-0000-02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22545" r:id="rId5" name="CheckBox22">
          <controlPr autoLine="0" autoPict="0" r:id="rId6">
            <anchor moveWithCells="1" sizeWithCells="1">
              <from>
                <xdr:col>6</xdr:col>
                <xdr:colOff>25400</xdr:colOff>
                <xdr:row>0</xdr:row>
                <xdr:rowOff>0</xdr:rowOff>
              </from>
              <to>
                <xdr:col>6</xdr:col>
                <xdr:colOff>25400</xdr:colOff>
                <xdr:row>0</xdr:row>
                <xdr:rowOff>0</xdr:rowOff>
              </to>
            </anchor>
          </controlPr>
        </control>
      </mc:Choice>
      <mc:Fallback>
        <control shapeId="22545" r:id="rId5" name="CheckBox22"/>
      </mc:Fallback>
    </mc:AlternateContent>
    <mc:AlternateContent xmlns:mc="http://schemas.openxmlformats.org/markup-compatibility/2006">
      <mc:Choice Requires="x14">
        <control shapeId="22544" r:id="rId7" name="CheckBox21">
          <controlPr autoLine="0" autoPict="0" r:id="rId8">
            <anchor moveWithCells="1" sizeWithCells="1">
              <from>
                <xdr:col>6</xdr:col>
                <xdr:colOff>1993900</xdr:colOff>
                <xdr:row>0</xdr:row>
                <xdr:rowOff>0</xdr:rowOff>
              </from>
              <to>
                <xdr:col>6</xdr:col>
                <xdr:colOff>1993900</xdr:colOff>
                <xdr:row>0</xdr:row>
                <xdr:rowOff>0</xdr:rowOff>
              </to>
            </anchor>
          </controlPr>
        </control>
      </mc:Choice>
      <mc:Fallback>
        <control shapeId="22544" r:id="rId7" name="CheckBox2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7FD3D7"/>
  </sheetPr>
  <dimension ref="A1:AM1128"/>
  <sheetViews>
    <sheetView showGridLines="0" zoomScale="80" zoomScaleNormal="80" workbookViewId="0">
      <pane ySplit="2" topLeftCell="A3" activePane="bottomLeft" state="frozen"/>
      <selection pane="bottomLeft" activeCell="H3" sqref="H3"/>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35.54296875" style="1" customWidth="1"/>
    <col min="7" max="7" width="37.54296875" style="1" customWidth="1"/>
    <col min="8" max="8" width="40.1796875" style="1" customWidth="1"/>
    <col min="9" max="9" width="10.453125" style="1" customWidth="1"/>
    <col min="10" max="10" width="14.26953125" style="1" customWidth="1"/>
    <col min="11" max="11" width="17.453125" style="1" customWidth="1"/>
    <col min="12" max="12" width="13.7265625" style="1" customWidth="1"/>
    <col min="13" max="13" width="55" style="1" customWidth="1"/>
    <col min="14" max="14" width="19.26953125" style="1" customWidth="1"/>
    <col min="15" max="15" width="25" style="1" customWidth="1"/>
    <col min="16" max="16" width="17.54296875" style="1" customWidth="1"/>
    <col min="17" max="16384" width="5.7265625" style="1"/>
  </cols>
  <sheetData>
    <row r="1" spans="1:39" ht="12"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238.5" thickTop="1" x14ac:dyDescent="0.3">
      <c r="A3" s="31"/>
      <c r="B3" s="29" t="s">
        <v>69</v>
      </c>
      <c r="C3" s="28"/>
      <c r="D3" s="28" t="s">
        <v>70</v>
      </c>
      <c r="E3" s="28" t="s">
        <v>71</v>
      </c>
      <c r="F3" s="29"/>
      <c r="G3" s="112" t="s">
        <v>72</v>
      </c>
      <c r="H3" s="112" t="s">
        <v>118</v>
      </c>
      <c r="I3" s="25" t="s">
        <v>73</v>
      </c>
      <c r="J3" s="25" t="s">
        <v>74</v>
      </c>
      <c r="K3" s="25"/>
      <c r="L3" s="26" t="s">
        <v>75</v>
      </c>
      <c r="M3" s="111" t="s">
        <v>76</v>
      </c>
      <c r="N3" s="26"/>
      <c r="O3" s="27"/>
      <c r="AB3" s="18"/>
      <c r="AC3" s="18"/>
      <c r="AD3" s="18"/>
      <c r="AE3" s="18"/>
      <c r="AF3" s="18"/>
      <c r="AG3" s="18"/>
      <c r="AK3" s="18"/>
      <c r="AL3" s="18"/>
      <c r="AM3" s="18"/>
    </row>
    <row r="4" spans="1:39" s="17" customFormat="1" ht="14" x14ac:dyDescent="0.3">
      <c r="A4" s="10"/>
      <c r="B4" s="11"/>
      <c r="C4" s="12"/>
      <c r="D4" s="12"/>
      <c r="E4" s="13"/>
      <c r="F4" s="12"/>
      <c r="G4" s="12"/>
      <c r="H4" s="12"/>
      <c r="I4" s="14"/>
      <c r="J4" s="14"/>
      <c r="K4" s="14"/>
      <c r="L4" s="15"/>
      <c r="M4" s="16"/>
      <c r="N4" s="15"/>
      <c r="O4" s="16"/>
      <c r="AB4" s="18"/>
      <c r="AC4" s="18"/>
      <c r="AD4" s="18"/>
      <c r="AE4" s="18"/>
      <c r="AF4" s="18"/>
      <c r="AG4" s="18"/>
      <c r="AK4" s="18"/>
      <c r="AL4" s="18"/>
      <c r="AM4" s="18"/>
    </row>
    <row r="5" spans="1:39" s="17" customFormat="1" ht="14" x14ac:dyDescent="0.3">
      <c r="A5" s="10"/>
      <c r="B5" s="11"/>
      <c r="C5" s="12"/>
      <c r="D5" s="12"/>
      <c r="E5" s="13"/>
      <c r="F5" s="12"/>
      <c r="G5" s="12"/>
      <c r="H5" s="12"/>
      <c r="I5" s="14"/>
      <c r="J5" s="14"/>
      <c r="K5" s="14"/>
      <c r="L5" s="15"/>
      <c r="M5" s="16"/>
      <c r="N5" s="15"/>
      <c r="O5" s="16"/>
      <c r="AB5" s="18"/>
      <c r="AC5" s="18"/>
      <c r="AD5" s="18"/>
      <c r="AE5" s="18"/>
      <c r="AF5" s="18"/>
      <c r="AG5" s="18"/>
      <c r="AK5" s="18"/>
      <c r="AL5" s="18"/>
      <c r="AM5" s="18"/>
    </row>
    <row r="6" spans="1:39" s="17" customFormat="1" ht="14" x14ac:dyDescent="0.3">
      <c r="A6" s="10"/>
      <c r="B6" s="11"/>
      <c r="C6" s="12"/>
      <c r="D6" s="12"/>
      <c r="E6" s="13"/>
      <c r="F6" s="12"/>
      <c r="G6" s="12"/>
      <c r="H6" s="12"/>
      <c r="I6" s="14"/>
      <c r="J6" s="14"/>
      <c r="K6" s="14"/>
      <c r="L6" s="15"/>
      <c r="M6" s="16"/>
      <c r="N6" s="15"/>
      <c r="O6" s="16"/>
      <c r="AB6" s="18"/>
      <c r="AC6" s="18"/>
      <c r="AD6" s="18"/>
      <c r="AE6" s="18"/>
      <c r="AF6" s="18"/>
      <c r="AG6" s="18"/>
      <c r="AK6" s="18"/>
      <c r="AL6" s="18"/>
      <c r="AM6" s="18"/>
    </row>
    <row r="7" spans="1:39" s="17" customFormat="1" ht="14" x14ac:dyDescent="0.3">
      <c r="A7" s="10"/>
      <c r="B7" s="11"/>
      <c r="C7" s="12"/>
      <c r="D7" s="12"/>
      <c r="E7" s="13"/>
      <c r="F7" s="12"/>
      <c r="G7" s="12"/>
      <c r="H7" s="12"/>
      <c r="I7" s="14"/>
      <c r="J7" s="14"/>
      <c r="K7" s="14"/>
      <c r="L7" s="15"/>
      <c r="M7" s="16"/>
      <c r="N7" s="15"/>
      <c r="O7" s="16"/>
      <c r="AB7" s="19"/>
      <c r="AC7" s="19"/>
      <c r="AD7" s="19"/>
      <c r="AE7" s="19"/>
      <c r="AF7" s="19"/>
      <c r="AG7" s="19"/>
      <c r="AK7" s="18"/>
      <c r="AL7" s="18"/>
      <c r="AM7" s="18"/>
    </row>
    <row r="8" spans="1:39" s="17" customFormat="1" ht="14" x14ac:dyDescent="0.3">
      <c r="A8" s="10"/>
      <c r="B8" s="11"/>
      <c r="C8" s="12"/>
      <c r="D8" s="12"/>
      <c r="E8" s="13"/>
      <c r="F8" s="12"/>
      <c r="G8" s="12"/>
      <c r="H8" s="12"/>
      <c r="I8" s="14"/>
      <c r="J8" s="14"/>
      <c r="K8" s="14"/>
      <c r="L8" s="15"/>
      <c r="M8" s="16"/>
      <c r="N8" s="15"/>
      <c r="O8" s="16"/>
      <c r="AB8" s="19"/>
      <c r="AC8" s="19"/>
      <c r="AD8" s="19"/>
      <c r="AE8" s="19"/>
      <c r="AF8" s="19"/>
      <c r="AG8" s="19"/>
      <c r="AK8" s="18"/>
      <c r="AL8" s="18"/>
      <c r="AM8" s="18"/>
    </row>
    <row r="9" spans="1:39" s="17" customFormat="1" ht="14" x14ac:dyDescent="0.3">
      <c r="A9" s="10"/>
      <c r="B9" s="11"/>
      <c r="C9" s="12"/>
      <c r="D9" s="12"/>
      <c r="E9" s="13"/>
      <c r="F9" s="12"/>
      <c r="G9" s="12"/>
      <c r="H9" s="12"/>
      <c r="I9" s="14"/>
      <c r="J9" s="14"/>
      <c r="K9" s="14"/>
      <c r="L9" s="15"/>
      <c r="M9" s="16"/>
      <c r="N9" s="15"/>
      <c r="O9" s="16"/>
      <c r="AK9" s="18"/>
      <c r="AL9" s="18"/>
      <c r="AM9" s="18"/>
    </row>
    <row r="10" spans="1:39" s="17" customFormat="1" ht="14" x14ac:dyDescent="0.3">
      <c r="A10" s="10"/>
      <c r="B10" s="11"/>
      <c r="C10" s="12"/>
      <c r="D10" s="12"/>
      <c r="E10" s="13"/>
      <c r="F10" s="12"/>
      <c r="G10" s="12"/>
      <c r="H10" s="12"/>
      <c r="I10" s="14"/>
      <c r="J10" s="14"/>
      <c r="K10" s="14"/>
      <c r="L10" s="15"/>
      <c r="M10" s="16"/>
      <c r="N10" s="15"/>
      <c r="O10" s="16"/>
      <c r="AK10" s="18"/>
      <c r="AL10" s="18"/>
      <c r="AM10" s="18"/>
    </row>
    <row r="11" spans="1:39" s="17" customFormat="1" ht="14" x14ac:dyDescent="0.3">
      <c r="A11" s="10"/>
      <c r="B11" s="11"/>
      <c r="C11" s="12"/>
      <c r="D11" s="12"/>
      <c r="E11" s="13"/>
      <c r="F11" s="12"/>
      <c r="G11" s="12"/>
      <c r="H11" s="12"/>
      <c r="I11" s="14"/>
      <c r="J11" s="14"/>
      <c r="K11" s="14"/>
      <c r="L11" s="15"/>
      <c r="M11" s="16"/>
      <c r="N11" s="15"/>
      <c r="O11" s="16"/>
      <c r="AK11" s="18"/>
      <c r="AL11" s="18"/>
      <c r="AM11" s="18"/>
    </row>
    <row r="12" spans="1:39" s="17" customFormat="1" ht="14" x14ac:dyDescent="0.3">
      <c r="A12" s="10"/>
      <c r="B12" s="11"/>
      <c r="C12" s="12"/>
      <c r="D12" s="12"/>
      <c r="E12" s="13"/>
      <c r="F12" s="12"/>
      <c r="G12" s="12"/>
      <c r="H12" s="12"/>
      <c r="I12" s="14"/>
      <c r="J12" s="14"/>
      <c r="K12" s="14"/>
      <c r="L12" s="15"/>
      <c r="M12" s="16"/>
      <c r="N12" s="15"/>
      <c r="O12" s="16"/>
      <c r="AK12" s="18"/>
      <c r="AL12" s="18"/>
      <c r="AM12" s="18"/>
    </row>
    <row r="13" spans="1:39" s="17" customFormat="1" ht="14" x14ac:dyDescent="0.3">
      <c r="A13" s="10"/>
      <c r="B13" s="11"/>
      <c r="C13" s="12"/>
      <c r="D13" s="12"/>
      <c r="E13" s="13"/>
      <c r="F13" s="12"/>
      <c r="G13" s="12"/>
      <c r="H13" s="12"/>
      <c r="I13" s="14"/>
      <c r="J13" s="14"/>
      <c r="K13" s="14"/>
      <c r="L13" s="15"/>
      <c r="M13" s="16"/>
      <c r="N13" s="15"/>
      <c r="O13" s="16"/>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18.5" customHeight="1" x14ac:dyDescent="0.3">
      <c r="A19" s="10"/>
      <c r="B19" s="11"/>
      <c r="C19" s="12"/>
      <c r="D19" s="12"/>
      <c r="E19" s="13"/>
      <c r="F19" s="12"/>
      <c r="G19" s="12"/>
      <c r="H19" s="12"/>
      <c r="I19" s="14"/>
      <c r="J19" s="14"/>
      <c r="K19" s="14"/>
      <c r="L19" s="15"/>
      <c r="M19" s="16"/>
      <c r="N19" s="15"/>
      <c r="O19" s="16"/>
      <c r="AK19" s="18"/>
      <c r="AL19" s="18"/>
      <c r="AM19" s="18"/>
    </row>
    <row r="20" spans="1:39" s="17" customFormat="1" ht="14" x14ac:dyDescent="0.3">
      <c r="A20" s="10"/>
      <c r="B20" s="11"/>
      <c r="C20" s="12"/>
      <c r="D20" s="12"/>
      <c r="E20" s="13"/>
      <c r="F20" s="12"/>
      <c r="G20" s="12"/>
      <c r="H20" s="12"/>
      <c r="I20" s="14"/>
      <c r="J20" s="14"/>
      <c r="K20" s="14"/>
      <c r="L20" s="15"/>
      <c r="M20" s="16"/>
      <c r="N20" s="15"/>
      <c r="O20" s="16"/>
      <c r="AK20" s="18"/>
      <c r="AL20" s="18"/>
      <c r="AM20" s="18"/>
    </row>
    <row r="21" spans="1:39" s="17" customFormat="1" ht="14" x14ac:dyDescent="0.3">
      <c r="A21" s="10"/>
      <c r="B21" s="11"/>
      <c r="C21" s="12"/>
      <c r="D21" s="12"/>
      <c r="E21" s="13"/>
      <c r="F21" s="12"/>
      <c r="G21" s="12"/>
      <c r="H21" s="12"/>
      <c r="I21" s="14"/>
      <c r="J21" s="14"/>
      <c r="K21" s="14"/>
      <c r="L21" s="15"/>
      <c r="M21" s="16"/>
      <c r="N21" s="15"/>
      <c r="O21" s="16"/>
      <c r="AK21" s="18"/>
      <c r="AL21" s="18"/>
      <c r="AM21" s="18"/>
    </row>
    <row r="22" spans="1:39" s="17" customFormat="1" ht="14" x14ac:dyDescent="0.3">
      <c r="A22" s="10"/>
      <c r="B22" s="11"/>
      <c r="C22" s="12"/>
      <c r="D22" s="12"/>
      <c r="E22" s="13"/>
      <c r="F22" s="12"/>
      <c r="G22" s="12"/>
      <c r="H22" s="12"/>
      <c r="I22" s="14"/>
      <c r="J22" s="14"/>
      <c r="K22" s="14"/>
      <c r="L22" s="15"/>
      <c r="M22" s="16"/>
      <c r="N22" s="15"/>
      <c r="O22" s="16"/>
      <c r="AK22" s="18"/>
      <c r="AL22" s="18"/>
      <c r="AM22" s="18"/>
    </row>
    <row r="23" spans="1:39" s="17" customFormat="1" ht="14" x14ac:dyDescent="0.3">
      <c r="A23" s="10"/>
      <c r="B23" s="11"/>
      <c r="C23" s="12"/>
      <c r="D23" s="12"/>
      <c r="E23" s="13"/>
      <c r="F23" s="12"/>
      <c r="G23" s="12"/>
      <c r="H23" s="12"/>
      <c r="I23" s="14"/>
      <c r="J23" s="14"/>
      <c r="K23" s="14"/>
      <c r="L23" s="15"/>
      <c r="M23" s="16"/>
      <c r="N23" s="15"/>
      <c r="O23" s="16"/>
      <c r="AK23" s="18"/>
      <c r="AL23" s="18"/>
      <c r="AM23" s="18"/>
    </row>
    <row r="24" spans="1:39" s="17" customFormat="1" ht="14" x14ac:dyDescent="0.3">
      <c r="A24" s="10"/>
      <c r="B24" s="11"/>
      <c r="C24" s="12"/>
      <c r="D24" s="12"/>
      <c r="E24" s="13"/>
      <c r="F24" s="12"/>
      <c r="G24" s="12"/>
      <c r="H24" s="12"/>
      <c r="I24" s="14"/>
      <c r="J24" s="14"/>
      <c r="K24" s="14"/>
      <c r="L24" s="15"/>
      <c r="M24" s="16"/>
      <c r="N24" s="15"/>
      <c r="O24" s="16"/>
    </row>
    <row r="25" spans="1:39" s="17" customFormat="1" ht="14" x14ac:dyDescent="0.3">
      <c r="A25" s="10"/>
      <c r="B25" s="11"/>
      <c r="C25" s="12"/>
      <c r="D25" s="12"/>
      <c r="E25" s="13"/>
      <c r="F25" s="12"/>
      <c r="G25" s="12"/>
      <c r="H25" s="12"/>
      <c r="I25" s="14"/>
      <c r="J25" s="14"/>
      <c r="K25" s="14"/>
      <c r="L25" s="15"/>
      <c r="M25" s="16"/>
      <c r="N25" s="15"/>
      <c r="O25" s="16"/>
    </row>
    <row r="26" spans="1:39" s="17" customFormat="1" ht="44.25" customHeight="1" x14ac:dyDescent="0.3">
      <c r="A26" s="10"/>
      <c r="B26" s="11"/>
      <c r="C26" s="12"/>
      <c r="D26" s="12"/>
      <c r="E26" s="13"/>
      <c r="F26" s="12"/>
      <c r="G26" s="12"/>
      <c r="H26" s="12"/>
      <c r="I26" s="14"/>
      <c r="J26" s="14"/>
      <c r="K26" s="14"/>
      <c r="L26" s="15"/>
      <c r="M26" s="16"/>
      <c r="N26" s="15"/>
      <c r="O26" s="16"/>
    </row>
    <row r="27" spans="1:39" s="18" customFormat="1" x14ac:dyDescent="0.25">
      <c r="E27" s="21"/>
      <c r="L27" s="20"/>
    </row>
    <row r="28" spans="1:39" s="18" customFormat="1" x14ac:dyDescent="0.25">
      <c r="E28" s="21"/>
      <c r="L28" s="20"/>
    </row>
    <row r="29" spans="1:39" s="18" customFormat="1" x14ac:dyDescent="0.25">
      <c r="E29" s="21"/>
      <c r="L29" s="20"/>
    </row>
    <row r="30" spans="1:39" s="18" customFormat="1" x14ac:dyDescent="0.25">
      <c r="E30" s="21"/>
      <c r="L30" s="20"/>
    </row>
    <row r="31" spans="1:39" s="18" customFormat="1" x14ac:dyDescent="0.25">
      <c r="E31" s="21"/>
      <c r="L31" s="20"/>
    </row>
    <row r="32" spans="1:39" s="18" customFormat="1" x14ac:dyDescent="0.25">
      <c r="E32" s="21"/>
      <c r="L32" s="20"/>
    </row>
    <row r="33" spans="5:12" s="18" customFormat="1" x14ac:dyDescent="0.25">
      <c r="E33" s="21"/>
      <c r="L33" s="20"/>
    </row>
    <row r="34" spans="5:12" s="18" customFormat="1" x14ac:dyDescent="0.25">
      <c r="E34" s="21"/>
      <c r="L34" s="20"/>
    </row>
    <row r="35" spans="5:12" s="18" customFormat="1" x14ac:dyDescent="0.25">
      <c r="E35" s="21"/>
      <c r="L35" s="20"/>
    </row>
    <row r="36" spans="5:12" s="18" customFormat="1" x14ac:dyDescent="0.25"/>
    <row r="37" spans="5:12" s="18" customFormat="1" x14ac:dyDescent="0.25"/>
    <row r="38" spans="5:12" s="18" customFormat="1" x14ac:dyDescent="0.25"/>
    <row r="39" spans="5:12" s="18" customFormat="1" x14ac:dyDescent="0.25"/>
    <row r="40" spans="5:12" s="18" customFormat="1" x14ac:dyDescent="0.25"/>
    <row r="41" spans="5:12" s="18" customFormat="1" x14ac:dyDescent="0.25"/>
    <row r="42" spans="5:12" s="18" customFormat="1" x14ac:dyDescent="0.25"/>
    <row r="43" spans="5:12" s="18" customFormat="1" x14ac:dyDescent="0.25"/>
    <row r="44" spans="5:12" s="18" customFormat="1" x14ac:dyDescent="0.25"/>
    <row r="45" spans="5:12" s="18" customFormat="1" x14ac:dyDescent="0.25"/>
    <row r="46" spans="5:12" s="18" customFormat="1" x14ac:dyDescent="0.25"/>
    <row r="47" spans="5:12" s="18" customFormat="1" x14ac:dyDescent="0.25"/>
    <row r="48" spans="5:12" s="18" customFormat="1" x14ac:dyDescent="0.25"/>
    <row r="49" s="18" customFormat="1" x14ac:dyDescent="0.25"/>
    <row r="50" s="18" customFormat="1" x14ac:dyDescent="0.25"/>
    <row r="51" s="18" customFormat="1" x14ac:dyDescent="0.25"/>
    <row r="52" s="18" customFormat="1" x14ac:dyDescent="0.25"/>
    <row r="53" s="18" customFormat="1" x14ac:dyDescent="0.25"/>
    <row r="54" s="18" customFormat="1" x14ac:dyDescent="0.25"/>
    <row r="55" s="18" customFormat="1" x14ac:dyDescent="0.25"/>
    <row r="56" s="18" customFormat="1" x14ac:dyDescent="0.25"/>
    <row r="57" s="18" customFormat="1" x14ac:dyDescent="0.25"/>
    <row r="58" s="18" customFormat="1" x14ac:dyDescent="0.25"/>
    <row r="59" s="18" customFormat="1" x14ac:dyDescent="0.25"/>
    <row r="60" s="18" customFormat="1" x14ac:dyDescent="0.25"/>
    <row r="61" s="18" customFormat="1" x14ac:dyDescent="0.25"/>
    <row r="62" s="18" customFormat="1" x14ac:dyDescent="0.25"/>
    <row r="63" s="18" customFormat="1" x14ac:dyDescent="0.25"/>
    <row r="64" s="18" customFormat="1" x14ac:dyDescent="0.25"/>
    <row r="65" s="18" customFormat="1" x14ac:dyDescent="0.25"/>
    <row r="66" s="18" customFormat="1" x14ac:dyDescent="0.25"/>
    <row r="67" s="18" customFormat="1" x14ac:dyDescent="0.25"/>
    <row r="68" s="18" customFormat="1" x14ac:dyDescent="0.25"/>
    <row r="69" s="18" customFormat="1" x14ac:dyDescent="0.25"/>
    <row r="70" s="18" customFormat="1" x14ac:dyDescent="0.25"/>
    <row r="71" s="18" customFormat="1" x14ac:dyDescent="0.25"/>
    <row r="72" s="18" customFormat="1" x14ac:dyDescent="0.25"/>
    <row r="73" s="18" customFormat="1" x14ac:dyDescent="0.25"/>
    <row r="74" s="18" customFormat="1" x14ac:dyDescent="0.25"/>
    <row r="75" s="18" customFormat="1" x14ac:dyDescent="0.25"/>
    <row r="76" s="18" customFormat="1" x14ac:dyDescent="0.25"/>
    <row r="77" s="18" customFormat="1" x14ac:dyDescent="0.25"/>
    <row r="78" s="18" customFormat="1" x14ac:dyDescent="0.25"/>
    <row r="79" s="18" customFormat="1" x14ac:dyDescent="0.25"/>
    <row r="80" s="18" customFormat="1" x14ac:dyDescent="0.25"/>
    <row r="81" s="18" customFormat="1" x14ac:dyDescent="0.25"/>
    <row r="82" s="18" customFormat="1" x14ac:dyDescent="0.25"/>
    <row r="83" s="18" customFormat="1" x14ac:dyDescent="0.25"/>
    <row r="84" s="18" customFormat="1" x14ac:dyDescent="0.25"/>
    <row r="85" s="18" customFormat="1" x14ac:dyDescent="0.25"/>
    <row r="86" s="18" customFormat="1" x14ac:dyDescent="0.25"/>
    <row r="87" s="18" customFormat="1" x14ac:dyDescent="0.25"/>
    <row r="88" s="18" customFormat="1" x14ac:dyDescent="0.25"/>
    <row r="89" s="18" customFormat="1" x14ac:dyDescent="0.25"/>
    <row r="90" s="18" customFormat="1" x14ac:dyDescent="0.25"/>
    <row r="91" s="18" customFormat="1" x14ac:dyDescent="0.25"/>
    <row r="92" s="18" customFormat="1" x14ac:dyDescent="0.25"/>
    <row r="93" s="18" customFormat="1" x14ac:dyDescent="0.25"/>
    <row r="94" s="18" customFormat="1" x14ac:dyDescent="0.25"/>
    <row r="95" s="18" customFormat="1" x14ac:dyDescent="0.25"/>
    <row r="96" s="18" customFormat="1" x14ac:dyDescent="0.25"/>
    <row r="97" s="18" customFormat="1" x14ac:dyDescent="0.25"/>
    <row r="98" s="18" customFormat="1" x14ac:dyDescent="0.25"/>
    <row r="99" s="18" customFormat="1" x14ac:dyDescent="0.25"/>
    <row r="100" s="18" customFormat="1" x14ac:dyDescent="0.25"/>
    <row r="101" s="18" customFormat="1" x14ac:dyDescent="0.25"/>
    <row r="102" s="18" customFormat="1" x14ac:dyDescent="0.25"/>
    <row r="103" s="18" customFormat="1" x14ac:dyDescent="0.25"/>
    <row r="104" s="18" customFormat="1" x14ac:dyDescent="0.25"/>
    <row r="105" s="18" customFormat="1" x14ac:dyDescent="0.25"/>
    <row r="106" s="18" customFormat="1" x14ac:dyDescent="0.25"/>
    <row r="107" s="18" customFormat="1" x14ac:dyDescent="0.25"/>
    <row r="108" s="18" customFormat="1" x14ac:dyDescent="0.25"/>
    <row r="109" s="18" customFormat="1" x14ac:dyDescent="0.25"/>
    <row r="110" s="18" customFormat="1" x14ac:dyDescent="0.25"/>
    <row r="111" s="18" customFormat="1" x14ac:dyDescent="0.25"/>
    <row r="112"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sheetData>
  <sheetProtection insertRows="0" insertHyperlinks="0" deleteRows="0"/>
  <autoFilter ref="D2:M26" xr:uid="{00000000-0009-0000-0000-000003000000}"/>
  <dataConsolidate topLabels="1"/>
  <phoneticPr fontId="38" type="noConversion"/>
  <conditionalFormatting sqref="M26">
    <cfRule type="expression" dxfId="76" priority="108">
      <formula>$L26="EXEMPT"</formula>
    </cfRule>
  </conditionalFormatting>
  <conditionalFormatting sqref="O26">
    <cfRule type="expression" dxfId="75" priority="107">
      <formula>#REF!="EXEMPT"</formula>
    </cfRule>
  </conditionalFormatting>
  <conditionalFormatting sqref="M25">
    <cfRule type="expression" dxfId="74" priority="106">
      <formula>$L25="EXEMPT"</formula>
    </cfRule>
  </conditionalFormatting>
  <conditionalFormatting sqref="O25">
    <cfRule type="expression" dxfId="73" priority="105">
      <formula>#REF!="EXEMPT"</formula>
    </cfRule>
  </conditionalFormatting>
  <conditionalFormatting sqref="M19">
    <cfRule type="expression" dxfId="72" priority="104">
      <formula>$L19="EXEMPT"</formula>
    </cfRule>
  </conditionalFormatting>
  <conditionalFormatting sqref="O19">
    <cfRule type="expression" dxfId="71" priority="103">
      <formula>#REF!="EXEMPT"</formula>
    </cfRule>
  </conditionalFormatting>
  <conditionalFormatting sqref="M24">
    <cfRule type="expression" dxfId="70" priority="102">
      <formula>$L24="EXEMPT"</formula>
    </cfRule>
  </conditionalFormatting>
  <conditionalFormatting sqref="O24">
    <cfRule type="expression" dxfId="69" priority="101">
      <formula>#REF!="EXEMPT"</formula>
    </cfRule>
  </conditionalFormatting>
  <conditionalFormatting sqref="M22">
    <cfRule type="expression" dxfId="68" priority="100">
      <formula>$L22="EXEMPT"</formula>
    </cfRule>
  </conditionalFormatting>
  <conditionalFormatting sqref="O22">
    <cfRule type="expression" dxfId="67" priority="99">
      <formula>#REF!="EXEMPT"</formula>
    </cfRule>
  </conditionalFormatting>
  <conditionalFormatting sqref="M23">
    <cfRule type="expression" dxfId="66" priority="98">
      <formula>$L23="EXEMPT"</formula>
    </cfRule>
  </conditionalFormatting>
  <conditionalFormatting sqref="O23">
    <cfRule type="expression" dxfId="65" priority="97">
      <formula>#REF!="EXEMPT"</formula>
    </cfRule>
  </conditionalFormatting>
  <conditionalFormatting sqref="M20">
    <cfRule type="expression" dxfId="64" priority="96">
      <formula>$L20="EXEMPT"</formula>
    </cfRule>
  </conditionalFormatting>
  <conditionalFormatting sqref="O20">
    <cfRule type="expression" dxfId="63" priority="95">
      <formula>#REF!="EXEMPT"</formula>
    </cfRule>
  </conditionalFormatting>
  <conditionalFormatting sqref="M21">
    <cfRule type="expression" dxfId="62" priority="94">
      <formula>$L21="EXEMPT"</formula>
    </cfRule>
  </conditionalFormatting>
  <conditionalFormatting sqref="O21">
    <cfRule type="expression" dxfId="61" priority="93">
      <formula>#REF!="EXEMPT"</formula>
    </cfRule>
  </conditionalFormatting>
  <conditionalFormatting sqref="M15">
    <cfRule type="expression" dxfId="60" priority="92">
      <formula>$L15="EXEMPT"</formula>
    </cfRule>
  </conditionalFormatting>
  <conditionalFormatting sqref="O15">
    <cfRule type="expression" dxfId="59" priority="91">
      <formula>#REF!="EXEMPT"</formula>
    </cfRule>
  </conditionalFormatting>
  <conditionalFormatting sqref="M16">
    <cfRule type="expression" dxfId="58" priority="90">
      <formula>$L16="EXEMPT"</formula>
    </cfRule>
  </conditionalFormatting>
  <conditionalFormatting sqref="O16">
    <cfRule type="expression" dxfId="57" priority="89">
      <formula>#REF!="EXEMPT"</formula>
    </cfRule>
  </conditionalFormatting>
  <conditionalFormatting sqref="M17">
    <cfRule type="expression" dxfId="56" priority="88">
      <formula>$L17="EXEMPT"</formula>
    </cfRule>
  </conditionalFormatting>
  <conditionalFormatting sqref="O17">
    <cfRule type="expression" dxfId="55" priority="87">
      <formula>#REF!="EXEMPT"</formula>
    </cfRule>
  </conditionalFormatting>
  <conditionalFormatting sqref="M18">
    <cfRule type="expression" dxfId="54" priority="86">
      <formula>$L18="EXEMPT"</formula>
    </cfRule>
  </conditionalFormatting>
  <conditionalFormatting sqref="O18">
    <cfRule type="expression" dxfId="53" priority="85">
      <formula>#REF!="EXEMPT"</formula>
    </cfRule>
  </conditionalFormatting>
  <conditionalFormatting sqref="M7">
    <cfRule type="expression" dxfId="52" priority="84">
      <formula>$L7="EXEMPT"</formula>
    </cfRule>
  </conditionalFormatting>
  <conditionalFormatting sqref="O7">
    <cfRule type="expression" dxfId="51" priority="83">
      <formula>#REF!="EXEMPT"</formula>
    </cfRule>
  </conditionalFormatting>
  <conditionalFormatting sqref="M8">
    <cfRule type="expression" dxfId="50" priority="82">
      <formula>$L8="EXEMPT"</formula>
    </cfRule>
  </conditionalFormatting>
  <conditionalFormatting sqref="O8">
    <cfRule type="expression" dxfId="49" priority="81">
      <formula>#REF!="EXEMPT"</formula>
    </cfRule>
  </conditionalFormatting>
  <conditionalFormatting sqref="M9">
    <cfRule type="expression" dxfId="48" priority="80">
      <formula>$L9="EXEMPT"</formula>
    </cfRule>
  </conditionalFormatting>
  <conditionalFormatting sqref="O9">
    <cfRule type="expression" dxfId="47" priority="79">
      <formula>#REF!="EXEMPT"</formula>
    </cfRule>
  </conditionalFormatting>
  <conditionalFormatting sqref="M10">
    <cfRule type="expression" dxfId="46" priority="78">
      <formula>$L10="EXEMPT"</formula>
    </cfRule>
  </conditionalFormatting>
  <conditionalFormatting sqref="O10">
    <cfRule type="expression" dxfId="45" priority="77">
      <formula>#REF!="EXEMPT"</formula>
    </cfRule>
  </conditionalFormatting>
  <conditionalFormatting sqref="M11">
    <cfRule type="expression" dxfId="44" priority="76">
      <formula>$L11="EXEMPT"</formula>
    </cfRule>
  </conditionalFormatting>
  <conditionalFormatting sqref="O11">
    <cfRule type="expression" dxfId="43" priority="75">
      <formula>#REF!="EXEMPT"</formula>
    </cfRule>
  </conditionalFormatting>
  <conditionalFormatting sqref="M12">
    <cfRule type="expression" dxfId="42" priority="74">
      <formula>$L12="EXEMPT"</formula>
    </cfRule>
  </conditionalFormatting>
  <conditionalFormatting sqref="O12">
    <cfRule type="expression" dxfId="41" priority="73">
      <formula>#REF!="EXEMPT"</formula>
    </cfRule>
  </conditionalFormatting>
  <conditionalFormatting sqref="M13">
    <cfRule type="expression" dxfId="40" priority="72">
      <formula>$L13="EXEMPT"</formula>
    </cfRule>
  </conditionalFormatting>
  <conditionalFormatting sqref="O13">
    <cfRule type="expression" dxfId="39" priority="71">
      <formula>#REF!="EXEMPT"</formula>
    </cfRule>
  </conditionalFormatting>
  <conditionalFormatting sqref="M14">
    <cfRule type="expression" dxfId="38" priority="70">
      <formula>$L14="EXEMPT"</formula>
    </cfRule>
  </conditionalFormatting>
  <conditionalFormatting sqref="O14">
    <cfRule type="expression" dxfId="37" priority="69">
      <formula>#REF!="EXEMPT"</formula>
    </cfRule>
  </conditionalFormatting>
  <conditionalFormatting sqref="M4">
    <cfRule type="expression" dxfId="36" priority="45">
      <formula>$L4="EXEMPT"</formula>
    </cfRule>
  </conditionalFormatting>
  <conditionalFormatting sqref="O4">
    <cfRule type="expression" dxfId="35" priority="44">
      <formula>#REF!="EXEMPT"</formula>
    </cfRule>
  </conditionalFormatting>
  <conditionalFormatting sqref="M5">
    <cfRule type="expression" dxfId="34" priority="43">
      <formula>$L5="EXEMPT"</formula>
    </cfRule>
  </conditionalFormatting>
  <conditionalFormatting sqref="O5">
    <cfRule type="expression" dxfId="33" priority="42">
      <formula>#REF!="EXEMPT"</formula>
    </cfRule>
  </conditionalFormatting>
  <conditionalFormatting sqref="M6">
    <cfRule type="expression" dxfId="32" priority="41">
      <formula>$L6="EXEMPT"</formula>
    </cfRule>
  </conditionalFormatting>
  <conditionalFormatting sqref="O6">
    <cfRule type="expression" dxfId="31" priority="40">
      <formula>#REF!="EXEMPT"</formula>
    </cfRule>
  </conditionalFormatting>
  <conditionalFormatting sqref="L1:L2 L4:L1048576">
    <cfRule type="containsText" dxfId="30" priority="52" operator="containsText" text="New">
      <formula>NOT(ISERROR(SEARCH("New",L1)))</formula>
    </cfRule>
    <cfRule type="containsText" dxfId="29" priority="53" operator="containsText" text="Impacted">
      <formula>NOT(ISERROR(SEARCH("Impacted",L1)))</formula>
    </cfRule>
    <cfRule type="containsText" dxfId="28" priority="54" operator="containsText" text="Approved">
      <formula>NOT(ISERROR(SEARCH("Approved",L1)))</formula>
    </cfRule>
    <cfRule type="containsText" dxfId="27" priority="55" operator="containsText" text="Modified">
      <formula>NOT(ISERROR(SEARCH("Modified",L1)))</formula>
    </cfRule>
    <cfRule type="containsText" dxfId="26" priority="56" operator="containsText" text="to be checked">
      <formula>NOT(ISERROR(SEARCH("to be checked",L1)))</formula>
    </cfRule>
  </conditionalFormatting>
  <conditionalFormatting sqref="N1 N4:N1048576">
    <cfRule type="containsText" dxfId="25" priority="33" operator="containsText" text="EXEMPT">
      <formula>NOT(ISERROR(SEARCH("EXEMPT",N1)))</formula>
    </cfRule>
    <cfRule type="containsText" dxfId="24" priority="35" operator="containsText" text="OPEN">
      <formula>NOT(ISERROR(SEARCH("OPEN",N1)))</formula>
    </cfRule>
    <cfRule type="containsText" dxfId="23" priority="57" operator="containsText" text="FAILED">
      <formula>NOT(ISERROR(SEARCH("FAILED",N1)))</formula>
    </cfRule>
    <cfRule type="containsText" dxfId="22" priority="58" operator="containsText" text="PASSED">
      <formula>NOT(ISERROR(SEARCH("PASSED",N1)))</formula>
    </cfRule>
  </conditionalFormatting>
  <conditionalFormatting sqref="O3">
    <cfRule type="expression" dxfId="21" priority="18">
      <formula>#REF!="EXEMPT"</formula>
    </cfRule>
  </conditionalFormatting>
  <conditionalFormatting sqref="N3">
    <cfRule type="containsText" dxfId="20" priority="14" operator="containsText" text="EXEMPT">
      <formula>NOT(ISERROR(SEARCH("EXEMPT",N3)))</formula>
    </cfRule>
    <cfRule type="containsText" dxfId="19" priority="15" operator="containsText" text="OPEN">
      <formula>NOT(ISERROR(SEARCH("OPEN",N3)))</formula>
    </cfRule>
    <cfRule type="containsText" dxfId="18" priority="16" operator="containsText" text="FAILED">
      <formula>NOT(ISERROR(SEARCH("FAILED",N3)))</formula>
    </cfRule>
    <cfRule type="containsText" dxfId="17" priority="17" operator="containsText" text="PASSED">
      <formula>NOT(ISERROR(SEARCH("PASSED",N3)))</formula>
    </cfRule>
  </conditionalFormatting>
  <conditionalFormatting sqref="M3">
    <cfRule type="expression" dxfId="16" priority="13">
      <formula>$M3="EXEMPT"</formula>
    </cfRule>
  </conditionalFormatting>
  <conditionalFormatting sqref="L3">
    <cfRule type="containsText" dxfId="15" priority="10" operator="containsText" text="New">
      <formula>NOT(ISERROR(SEARCH("New",L3)))</formula>
    </cfRule>
  </conditionalFormatting>
  <conditionalFormatting sqref="N3">
    <cfRule type="containsText" dxfId="14" priority="5" operator="containsText" text="EXEMPT">
      <formula>NOT(ISERROR(SEARCH("EXEMPT",N3)))</formula>
    </cfRule>
    <cfRule type="containsText" dxfId="13" priority="6" operator="containsText" text="FAILED">
      <formula>NOT(ISERROR(SEARCH("FAILED",N3)))</formula>
    </cfRule>
    <cfRule type="containsText" dxfId="12" priority="7" operator="containsText" text="FAILED">
      <formula>NOT(ISERROR(SEARCH("FAILED",N3)))</formula>
    </cfRule>
    <cfRule type="containsText" dxfId="11" priority="8" operator="containsText" text="OPEN">
      <formula>NOT(ISERROR(SEARCH("OPEN",N3)))</formula>
    </cfRule>
    <cfRule type="cellIs" dxfId="10" priority="9" operator="equal">
      <formula>"PASSED"</formula>
    </cfRule>
  </conditionalFormatting>
  <conditionalFormatting sqref="N2">
    <cfRule type="containsText" dxfId="9" priority="1" operator="containsText" text="EXEMPT">
      <formula>NOT(ISERROR(SEARCH("EXEMPT",N2)))</formula>
    </cfRule>
    <cfRule type="containsText" dxfId="8" priority="2" operator="containsText" text="OPEN">
      <formula>NOT(ISERROR(SEARCH("OPEN",N2)))</formula>
    </cfRule>
    <cfRule type="containsText" dxfId="7" priority="3" operator="containsText" text="FAILED">
      <formula>NOT(ISERROR(SEARCH("FAILED",N2)))</formula>
    </cfRule>
    <cfRule type="containsText" dxfId="6" priority="4" operator="containsText" text="PASSED">
      <formula>NOT(ISERROR(SEARCH("PASSED",N2)))</formula>
    </cfRule>
  </conditionalFormatting>
  <dataValidations count="5">
    <dataValidation type="list" allowBlank="1" showInputMessage="1" showErrorMessage="1" sqref="I22:I26" xr:uid="{00000000-0002-0000-0300-000000000000}">
      <formula1>"EC,BVA,DT,STT,B2B,ExBas,Others"</formula1>
    </dataValidation>
    <dataValidation type="list" allowBlank="1" showInputMessage="1" showErrorMessage="1" sqref="I27:I35 I3:I21" xr:uid="{00000000-0002-0000-0300-000001000000}">
      <formula1>"BVA,EC,DT,STT,B2B,ExBas,Others"</formula1>
    </dataValidation>
    <dataValidation type="list" allowBlank="1" showInputMessage="1" showErrorMessage="1" sqref="N3:N67" xr:uid="{00000000-0002-0000-0300-000002000000}">
      <formula1>"OPEN,OPEN - externally tracked,PASSED,FAILED,EXEMPT"</formula1>
    </dataValidation>
    <dataValidation type="list" allowBlank="1" showInputMessage="1" showErrorMessage="1" sqref="L3:L35" xr:uid="{00000000-0002-0000-0300-000003000000}">
      <formula1>"New,To be checked,Modified,Approved,Impacted"</formula1>
    </dataValidation>
    <dataValidation type="list" allowBlank="1" showInputMessage="1" showErrorMessage="1" sqref="J3:J35" xr:uid="{00000000-0002-0000-0300-000004000000}">
      <formula1>"SIL,PIL,HWoL,HIL,Vehicle"</formula1>
    </dataValidation>
  </dataValidations>
  <hyperlinks>
    <hyperlink ref="I2" r:id="rId1" xr:uid="{00000000-0004-0000-03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52225" r:id="rId5" name="CheckBox21">
          <controlPr autoLine="0" r:id="rId6">
            <anchor moveWithCells="1" sizeWithCells="1">
              <from>
                <xdr:col>6</xdr:col>
                <xdr:colOff>1993900</xdr:colOff>
                <xdr:row>0</xdr:row>
                <xdr:rowOff>0</xdr:rowOff>
              </from>
              <to>
                <xdr:col>6</xdr:col>
                <xdr:colOff>1993900</xdr:colOff>
                <xdr:row>0</xdr:row>
                <xdr:rowOff>0</xdr:rowOff>
              </to>
            </anchor>
          </controlPr>
        </control>
      </mc:Choice>
      <mc:Fallback>
        <control shapeId="52225" r:id="rId5" name="CheckBox21"/>
      </mc:Fallback>
    </mc:AlternateContent>
    <mc:AlternateContent xmlns:mc="http://schemas.openxmlformats.org/markup-compatibility/2006">
      <mc:Choice Requires="x14">
        <control shapeId="52226" r:id="rId7" name="CheckBox22">
          <controlPr autoLine="0" r:id="rId8">
            <anchor moveWithCells="1" sizeWithCells="1">
              <from>
                <xdr:col>6</xdr:col>
                <xdr:colOff>25400</xdr:colOff>
                <xdr:row>0</xdr:row>
                <xdr:rowOff>0</xdr:rowOff>
              </from>
              <to>
                <xdr:col>6</xdr:col>
                <xdr:colOff>25400</xdr:colOff>
                <xdr:row>0</xdr:row>
                <xdr:rowOff>0</xdr:rowOff>
              </to>
            </anchor>
          </controlPr>
        </control>
      </mc:Choice>
      <mc:Fallback>
        <control shapeId="52226" r:id="rId7" name="CheckBox22"/>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3:E22"/>
  <sheetViews>
    <sheetView workbookViewId="0"/>
  </sheetViews>
  <sheetFormatPr defaultColWidth="11.453125" defaultRowHeight="12.5" x14ac:dyDescent="0.25"/>
  <cols>
    <col min="2" max="2" width="6.54296875" bestFit="1" customWidth="1"/>
    <col min="3" max="3" width="30.453125" bestFit="1" customWidth="1"/>
    <col min="4" max="4" width="36" bestFit="1" customWidth="1"/>
    <col min="5" max="5" width="34.453125" customWidth="1"/>
  </cols>
  <sheetData>
    <row r="3" spans="2:5" ht="13.5" thickBot="1" x14ac:dyDescent="0.35">
      <c r="B3" s="163" t="s">
        <v>68</v>
      </c>
      <c r="C3" s="163"/>
    </row>
    <row r="4" spans="2:5" ht="13" x14ac:dyDescent="0.3">
      <c r="B4" s="164" t="s">
        <v>59</v>
      </c>
      <c r="C4" s="165"/>
      <c r="D4" s="166" t="s">
        <v>58</v>
      </c>
      <c r="E4" s="167"/>
    </row>
    <row r="5" spans="2:5" x14ac:dyDescent="0.25">
      <c r="B5" s="168" t="s">
        <v>57</v>
      </c>
      <c r="C5" s="169"/>
      <c r="D5" s="170" t="s">
        <v>67</v>
      </c>
      <c r="E5" s="171"/>
    </row>
    <row r="6" spans="2:5" ht="13" thickBot="1" x14ac:dyDescent="0.3">
      <c r="B6" s="158" t="s">
        <v>55</v>
      </c>
      <c r="C6" s="159"/>
      <c r="D6" s="172" t="s">
        <v>66</v>
      </c>
      <c r="E6" s="173"/>
    </row>
    <row r="7" spans="2:5" ht="13.5" thickBot="1" x14ac:dyDescent="0.35">
      <c r="B7" s="97" t="s">
        <v>53</v>
      </c>
      <c r="C7" s="96" t="s">
        <v>52</v>
      </c>
      <c r="D7" s="96" t="s">
        <v>51</v>
      </c>
      <c r="E7" s="96" t="s">
        <v>50</v>
      </c>
    </row>
    <row r="8" spans="2:5" ht="13" thickBot="1" x14ac:dyDescent="0.3">
      <c r="B8" s="92" t="s">
        <v>65</v>
      </c>
      <c r="C8" s="110"/>
      <c r="D8" s="109"/>
      <c r="E8" s="108"/>
    </row>
    <row r="9" spans="2:5" ht="13" thickBot="1" x14ac:dyDescent="0.3">
      <c r="B9" s="92" t="s">
        <v>64</v>
      </c>
      <c r="C9" s="107"/>
      <c r="D9" s="106"/>
      <c r="E9" s="89"/>
    </row>
    <row r="10" spans="2:5" ht="13" thickBot="1" x14ac:dyDescent="0.3">
      <c r="B10" s="92" t="s">
        <v>63</v>
      </c>
      <c r="C10" s="107"/>
      <c r="D10" s="106"/>
      <c r="E10" s="89"/>
    </row>
    <row r="11" spans="2:5" ht="13" thickBot="1" x14ac:dyDescent="0.3">
      <c r="B11" s="88" t="s">
        <v>62</v>
      </c>
      <c r="C11" s="105"/>
      <c r="D11" s="104"/>
      <c r="E11" s="85"/>
    </row>
    <row r="12" spans="2:5" x14ac:dyDescent="0.25">
      <c r="B12" s="103"/>
      <c r="C12" s="102"/>
      <c r="D12" s="101"/>
      <c r="E12" s="100"/>
    </row>
    <row r="13" spans="2:5" ht="13" x14ac:dyDescent="0.3">
      <c r="B13" s="162" t="s">
        <v>61</v>
      </c>
      <c r="C13" s="162"/>
      <c r="D13" s="162"/>
      <c r="E13" s="99"/>
    </row>
    <row r="14" spans="2:5" ht="13" thickBot="1" x14ac:dyDescent="0.3">
      <c r="C14" s="7"/>
    </row>
    <row r="15" spans="2:5" ht="13.5" thickBot="1" x14ac:dyDescent="0.35">
      <c r="B15" s="174" t="s">
        <v>60</v>
      </c>
      <c r="C15" s="175"/>
      <c r="D15" s="98"/>
      <c r="E15" s="98"/>
    </row>
    <row r="16" spans="2:5" ht="13" x14ac:dyDescent="0.3">
      <c r="B16" s="164" t="s">
        <v>59</v>
      </c>
      <c r="C16" s="165"/>
      <c r="D16" s="166" t="s">
        <v>58</v>
      </c>
      <c r="E16" s="167"/>
    </row>
    <row r="17" spans="2:5" x14ac:dyDescent="0.25">
      <c r="B17" s="168" t="s">
        <v>57</v>
      </c>
      <c r="C17" s="169"/>
      <c r="D17" s="170" t="s">
        <v>56</v>
      </c>
      <c r="E17" s="171"/>
    </row>
    <row r="18" spans="2:5" ht="13" thickBot="1" x14ac:dyDescent="0.3">
      <c r="B18" s="158" t="s">
        <v>55</v>
      </c>
      <c r="C18" s="159"/>
      <c r="D18" s="160" t="s">
        <v>54</v>
      </c>
      <c r="E18" s="161"/>
    </row>
    <row r="19" spans="2:5" ht="13.5" thickBot="1" x14ac:dyDescent="0.35">
      <c r="B19" s="97" t="s">
        <v>53</v>
      </c>
      <c r="C19" s="96" t="s">
        <v>52</v>
      </c>
      <c r="D19" s="96" t="s">
        <v>51</v>
      </c>
      <c r="E19" s="96" t="s">
        <v>50</v>
      </c>
    </row>
    <row r="20" spans="2:5" ht="13" thickBot="1" x14ac:dyDescent="0.3">
      <c r="B20" s="92" t="s">
        <v>49</v>
      </c>
      <c r="C20" s="95" t="s">
        <v>48</v>
      </c>
      <c r="D20" s="94">
        <v>20</v>
      </c>
      <c r="E20" s="93"/>
    </row>
    <row r="21" spans="2:5" ht="13" thickBot="1" x14ac:dyDescent="0.3">
      <c r="B21" s="92" t="s">
        <v>47</v>
      </c>
      <c r="C21" s="91" t="s">
        <v>46</v>
      </c>
      <c r="D21" s="90">
        <v>100</v>
      </c>
      <c r="E21" s="89"/>
    </row>
    <row r="22" spans="2:5" ht="13" thickBot="1" x14ac:dyDescent="0.3">
      <c r="B22" s="88" t="s">
        <v>45</v>
      </c>
      <c r="C22" s="87" t="s">
        <v>44</v>
      </c>
      <c r="D22" s="86">
        <v>700</v>
      </c>
      <c r="E22" s="85"/>
    </row>
  </sheetData>
  <mergeCells count="15">
    <mergeCell ref="B18:C18"/>
    <mergeCell ref="D18:E18"/>
    <mergeCell ref="B13:D13"/>
    <mergeCell ref="B3:C3"/>
    <mergeCell ref="B4:C4"/>
    <mergeCell ref="D4:E4"/>
    <mergeCell ref="B5:C5"/>
    <mergeCell ref="D5:E5"/>
    <mergeCell ref="B6:C6"/>
    <mergeCell ref="D6:E6"/>
    <mergeCell ref="B15:C15"/>
    <mergeCell ref="B16:C16"/>
    <mergeCell ref="D16:E16"/>
    <mergeCell ref="B17:C17"/>
    <mergeCell ref="D17:E17"/>
  </mergeCells>
  <phoneticPr fontId="38"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F26"/>
  <sheetViews>
    <sheetView workbookViewId="0"/>
  </sheetViews>
  <sheetFormatPr defaultColWidth="11.453125" defaultRowHeight="12.5" x14ac:dyDescent="0.25"/>
  <cols>
    <col min="2" max="2" width="34.54296875" customWidth="1"/>
    <col min="3" max="3" width="13" customWidth="1"/>
    <col min="4" max="4" width="13.26953125" customWidth="1"/>
    <col min="5" max="5" width="12.26953125" customWidth="1"/>
    <col min="6" max="6" width="12.54296875" customWidth="1"/>
  </cols>
  <sheetData>
    <row r="2" spans="2:6" ht="13.5" thickBot="1" x14ac:dyDescent="0.35">
      <c r="B2" s="69" t="s">
        <v>41</v>
      </c>
    </row>
    <row r="3" spans="2:6" x14ac:dyDescent="0.25">
      <c r="B3" s="68" t="s">
        <v>40</v>
      </c>
      <c r="C3" s="67" t="s">
        <v>43</v>
      </c>
      <c r="D3" s="67" t="s">
        <v>43</v>
      </c>
      <c r="E3" s="67" t="s">
        <v>43</v>
      </c>
      <c r="F3" s="66" t="s">
        <v>43</v>
      </c>
    </row>
    <row r="4" spans="2:6" x14ac:dyDescent="0.25">
      <c r="B4" s="65"/>
      <c r="C4" s="84"/>
      <c r="D4" s="84"/>
      <c r="E4" s="84"/>
      <c r="F4" s="83"/>
    </row>
    <row r="5" spans="2:6" x14ac:dyDescent="0.25">
      <c r="B5" s="65"/>
      <c r="C5" s="84"/>
      <c r="D5" s="84"/>
      <c r="E5" s="84"/>
      <c r="F5" s="83"/>
    </row>
    <row r="6" spans="2:6" x14ac:dyDescent="0.25">
      <c r="B6" s="65"/>
      <c r="C6" s="84"/>
      <c r="D6" s="62"/>
      <c r="E6" s="62"/>
      <c r="F6" s="83"/>
    </row>
    <row r="7" spans="2:6" ht="13" thickBot="1" x14ac:dyDescent="0.3">
      <c r="B7" s="64"/>
      <c r="C7" s="82"/>
      <c r="D7" s="82"/>
      <c r="E7" s="63"/>
      <c r="F7" s="81"/>
    </row>
    <row r="8" spans="2:6" ht="13" thickBot="1" x14ac:dyDescent="0.3">
      <c r="B8" s="176" t="s">
        <v>29</v>
      </c>
      <c r="C8" s="177"/>
      <c r="D8" s="177"/>
      <c r="E8" s="177"/>
      <c r="F8" s="178"/>
    </row>
    <row r="9" spans="2:6" x14ac:dyDescent="0.25">
      <c r="B9" s="80"/>
      <c r="C9" s="79"/>
      <c r="D9" s="79"/>
      <c r="E9" s="79"/>
      <c r="F9" s="78"/>
    </row>
    <row r="10" spans="2:6" x14ac:dyDescent="0.25">
      <c r="B10" s="65"/>
      <c r="C10" s="77"/>
      <c r="D10" s="77"/>
      <c r="E10" s="77"/>
      <c r="F10" s="76"/>
    </row>
    <row r="11" spans="2:6" ht="13" thickBot="1" x14ac:dyDescent="0.3">
      <c r="B11" s="75"/>
      <c r="C11" s="74"/>
      <c r="D11" s="74"/>
      <c r="E11" s="74"/>
      <c r="F11" s="73"/>
    </row>
    <row r="12" spans="2:6" x14ac:dyDescent="0.25">
      <c r="B12" s="72"/>
      <c r="C12" s="71"/>
      <c r="D12" s="71"/>
      <c r="E12" s="71"/>
      <c r="F12" s="71"/>
    </row>
    <row r="13" spans="2:6" x14ac:dyDescent="0.25">
      <c r="B13" s="72"/>
      <c r="C13" s="71"/>
      <c r="D13" s="71"/>
      <c r="E13" s="71"/>
      <c r="F13" s="71"/>
    </row>
    <row r="17" spans="2:6" ht="13" x14ac:dyDescent="0.3">
      <c r="B17" s="162" t="s">
        <v>42</v>
      </c>
      <c r="C17" s="162"/>
      <c r="D17" s="162"/>
      <c r="E17" s="162"/>
      <c r="F17" s="162"/>
    </row>
    <row r="18" spans="2:6" ht="13" x14ac:dyDescent="0.3">
      <c r="B18" s="70"/>
      <c r="C18" s="70"/>
      <c r="D18" s="70"/>
      <c r="E18" s="70"/>
      <c r="F18" s="70"/>
    </row>
    <row r="19" spans="2:6" ht="13.5" thickBot="1" x14ac:dyDescent="0.35">
      <c r="B19" s="69" t="s">
        <v>41</v>
      </c>
      <c r="C19" s="69"/>
      <c r="D19" s="69"/>
      <c r="E19" s="69"/>
      <c r="F19" s="69"/>
    </row>
    <row r="20" spans="2:6" ht="13.5" customHeight="1" x14ac:dyDescent="0.25">
      <c r="B20" s="68" t="s">
        <v>40</v>
      </c>
      <c r="C20" s="67" t="s">
        <v>39</v>
      </c>
      <c r="D20" s="67" t="s">
        <v>38</v>
      </c>
      <c r="E20" s="67" t="s">
        <v>37</v>
      </c>
      <c r="F20" s="66" t="s">
        <v>36</v>
      </c>
    </row>
    <row r="21" spans="2:6" x14ac:dyDescent="0.25">
      <c r="B21" s="65" t="s">
        <v>35</v>
      </c>
      <c r="C21" s="62" t="s">
        <v>31</v>
      </c>
      <c r="D21" s="62" t="s">
        <v>31</v>
      </c>
      <c r="E21" s="62" t="s">
        <v>31</v>
      </c>
      <c r="F21" s="62" t="s">
        <v>31</v>
      </c>
    </row>
    <row r="22" spans="2:6" x14ac:dyDescent="0.25">
      <c r="B22" s="65" t="s">
        <v>34</v>
      </c>
      <c r="C22" s="62" t="s">
        <v>31</v>
      </c>
      <c r="D22" s="62" t="s">
        <v>30</v>
      </c>
      <c r="E22" s="62" t="s">
        <v>31</v>
      </c>
      <c r="F22" s="62" t="s">
        <v>31</v>
      </c>
    </row>
    <row r="23" spans="2:6" x14ac:dyDescent="0.25">
      <c r="B23" s="65" t="s">
        <v>33</v>
      </c>
      <c r="C23" s="62" t="s">
        <v>31</v>
      </c>
      <c r="D23" s="62" t="s">
        <v>31</v>
      </c>
      <c r="E23" s="62" t="s">
        <v>30</v>
      </c>
      <c r="F23" s="62" t="s">
        <v>31</v>
      </c>
    </row>
    <row r="24" spans="2:6" ht="13" thickBot="1" x14ac:dyDescent="0.3">
      <c r="B24" s="64" t="s">
        <v>32</v>
      </c>
      <c r="C24" s="63" t="s">
        <v>31</v>
      </c>
      <c r="D24" s="62" t="s">
        <v>31</v>
      </c>
      <c r="E24" s="62" t="s">
        <v>31</v>
      </c>
      <c r="F24" s="61" t="s">
        <v>30</v>
      </c>
    </row>
    <row r="25" spans="2:6" ht="13" thickBot="1" x14ac:dyDescent="0.3">
      <c r="B25" s="176" t="s">
        <v>29</v>
      </c>
      <c r="C25" s="177"/>
      <c r="D25" s="177"/>
      <c r="E25" s="177"/>
      <c r="F25" s="178"/>
    </row>
    <row r="26" spans="2:6" ht="13" thickBot="1" x14ac:dyDescent="0.3">
      <c r="B26" s="60" t="s">
        <v>28</v>
      </c>
      <c r="C26" s="59" t="s">
        <v>27</v>
      </c>
      <c r="D26" s="59" t="s">
        <v>26</v>
      </c>
      <c r="E26" s="59" t="s">
        <v>26</v>
      </c>
      <c r="F26" s="58" t="s">
        <v>26</v>
      </c>
    </row>
  </sheetData>
  <mergeCells count="3">
    <mergeCell ref="B25:F25"/>
    <mergeCell ref="B8:F8"/>
    <mergeCell ref="B17:F17"/>
  </mergeCells>
  <phoneticPr fontId="38" type="noConversion"/>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15"/>
  <sheetViews>
    <sheetView workbookViewId="0">
      <selection activeCell="B4" sqref="B4"/>
    </sheetView>
  </sheetViews>
  <sheetFormatPr defaultColWidth="11.453125" defaultRowHeight="12.5" x14ac:dyDescent="0.25"/>
  <cols>
    <col min="1" max="1" width="51.81640625" customWidth="1"/>
    <col min="2" max="2" width="11.453125" style="54"/>
  </cols>
  <sheetData>
    <row r="2" spans="1:2" ht="18" x14ac:dyDescent="0.4">
      <c r="A2" s="56" t="s">
        <v>94</v>
      </c>
    </row>
    <row r="3" spans="1:2" s="55" customFormat="1" ht="14" x14ac:dyDescent="0.3">
      <c r="A3" s="57" t="s">
        <v>79</v>
      </c>
      <c r="B3" s="7" t="s">
        <v>110</v>
      </c>
    </row>
    <row r="4" spans="1:2" s="55" customFormat="1" ht="14" x14ac:dyDescent="0.3">
      <c r="A4" s="55" t="s">
        <v>78</v>
      </c>
      <c r="B4" s="7" t="s">
        <v>111</v>
      </c>
    </row>
    <row r="6" spans="1:2" ht="18" x14ac:dyDescent="0.4">
      <c r="A6" s="56" t="s">
        <v>95</v>
      </c>
    </row>
    <row r="7" spans="1:2" ht="14" x14ac:dyDescent="0.3">
      <c r="A7" s="55" t="s">
        <v>17</v>
      </c>
      <c r="B7" s="7" t="s">
        <v>98</v>
      </c>
    </row>
    <row r="8" spans="1:2" ht="14" x14ac:dyDescent="0.3">
      <c r="A8" s="55" t="s">
        <v>96</v>
      </c>
      <c r="B8" s="7" t="s">
        <v>99</v>
      </c>
    </row>
    <row r="9" spans="1:2" ht="14" x14ac:dyDescent="0.3">
      <c r="A9" s="55" t="s">
        <v>97</v>
      </c>
      <c r="B9" s="7" t="s">
        <v>100</v>
      </c>
    </row>
    <row r="10" spans="1:2" ht="14" x14ac:dyDescent="0.3">
      <c r="A10" s="55"/>
      <c r="B10" s="114"/>
    </row>
    <row r="11" spans="1:2" ht="14" x14ac:dyDescent="0.3">
      <c r="A11" s="131" t="s">
        <v>101</v>
      </c>
      <c r="B11" s="7"/>
    </row>
    <row r="12" spans="1:2" ht="14" x14ac:dyDescent="0.3">
      <c r="A12" s="55" t="s">
        <v>102</v>
      </c>
      <c r="B12" s="7" t="s">
        <v>103</v>
      </c>
    </row>
    <row r="13" spans="1:2" ht="14" x14ac:dyDescent="0.3">
      <c r="A13" s="55" t="s">
        <v>104</v>
      </c>
      <c r="B13" s="7" t="s">
        <v>105</v>
      </c>
    </row>
    <row r="14" spans="1:2" ht="14" x14ac:dyDescent="0.3">
      <c r="A14" s="55" t="s">
        <v>106</v>
      </c>
      <c r="B14" s="7" t="s">
        <v>107</v>
      </c>
    </row>
    <row r="15" spans="1:2" ht="14" x14ac:dyDescent="0.3">
      <c r="A15" s="55" t="s">
        <v>108</v>
      </c>
      <c r="B15" s="132" t="s">
        <v>18</v>
      </c>
    </row>
  </sheetData>
  <phoneticPr fontId="38" type="noConversion"/>
  <hyperlinks>
    <hyperlink ref="B3" r:id="rId1" location="/workspace/19808/_vv/process/guidance/_UZYWgDNr0-GtSse8-tp1zA" xr:uid="{00000000-0004-0000-0600-000000000000}"/>
    <hyperlink ref="B4" r:id="rId2" location="/workspace/19808/_vv/process/guidance/_7ocdAO_U0_GtSse8-tp1zA" xr:uid="{00000000-0004-0000-0600-000001000000}"/>
    <hyperlink ref="B7" r:id="rId3" xr:uid="{00000000-0004-0000-0600-000002000000}"/>
    <hyperlink ref="B8" r:id="rId4" xr:uid="{00000000-0004-0000-0600-000003000000}"/>
    <hyperlink ref="B9" r:id="rId5" location="!/wiki/W9ebdf38bacee_41e4_b5d6_94f625c11b83/page/Welcome%20to%20BCU%20Framework" xr:uid="{00000000-0004-0000-0600-000004000000}"/>
    <hyperlink ref="B12" r:id="rId6" location="!/wiki/Wfe4828b1563a_4f27_876d_0864f4622ff8/page/SW%20Unit%20Test" xr:uid="{00000000-0004-0000-0600-000005000000}"/>
    <hyperlink ref="B15" r:id="rId7" xr:uid="{00000000-0004-0000-0600-000006000000}"/>
    <hyperlink ref="B13" r:id="rId8" xr:uid="{00000000-0004-0000-0600-000007000000}"/>
    <hyperlink ref="B14" r:id="rId9" xr:uid="{00000000-0004-0000-0600-000008000000}"/>
  </hyperlinks>
  <pageMargins left="0.7" right="0.7" top="0.78740157499999996" bottom="0.78740157499999996" header="0.3" footer="0.3"/>
  <pageSetup paperSize="9"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dimension ref="A1:I9"/>
  <sheetViews>
    <sheetView zoomScale="145" zoomScaleNormal="145" workbookViewId="0">
      <selection activeCell="E7" sqref="E7"/>
    </sheetView>
  </sheetViews>
  <sheetFormatPr defaultColWidth="11.453125" defaultRowHeight="12.5" x14ac:dyDescent="0.25"/>
  <cols>
    <col min="1" max="1" width="9.1796875" customWidth="1"/>
    <col min="2" max="2" width="12.7265625" customWidth="1"/>
    <col min="3" max="3" width="22.81640625" customWidth="1"/>
    <col min="4" max="4" width="108" style="53" customWidth="1"/>
  </cols>
  <sheetData>
    <row r="1" spans="1:9" ht="15.5" x14ac:dyDescent="0.25">
      <c r="A1" s="115" t="s">
        <v>80</v>
      </c>
      <c r="B1" s="116"/>
      <c r="C1" s="116"/>
      <c r="D1" s="116"/>
    </row>
    <row r="2" spans="1:9" x14ac:dyDescent="0.25">
      <c r="D2"/>
    </row>
    <row r="3" spans="1:9" ht="13" x14ac:dyDescent="0.3">
      <c r="A3" s="117" t="s">
        <v>1</v>
      </c>
      <c r="B3" s="117" t="s">
        <v>112</v>
      </c>
      <c r="C3" s="117" t="s">
        <v>81</v>
      </c>
      <c r="D3" s="118" t="s">
        <v>2</v>
      </c>
      <c r="E3" s="122" t="s">
        <v>85</v>
      </c>
    </row>
    <row r="4" spans="1:9" ht="50" x14ac:dyDescent="0.25">
      <c r="A4" s="119" t="s">
        <v>82</v>
      </c>
      <c r="B4" s="120">
        <v>43896</v>
      </c>
      <c r="C4" s="121" t="s">
        <v>83</v>
      </c>
      <c r="D4" s="113" t="s">
        <v>84</v>
      </c>
      <c r="E4" s="123">
        <v>161842</v>
      </c>
      <c r="I4" s="54"/>
    </row>
    <row r="5" spans="1:9" ht="62.5" x14ac:dyDescent="0.25">
      <c r="A5" s="119" t="s">
        <v>87</v>
      </c>
      <c r="B5" s="120">
        <v>43950</v>
      </c>
      <c r="C5" s="121" t="s">
        <v>83</v>
      </c>
      <c r="D5" s="113" t="s">
        <v>86</v>
      </c>
      <c r="E5" s="124"/>
      <c r="I5" s="54"/>
    </row>
    <row r="6" spans="1:9" ht="25" x14ac:dyDescent="0.25">
      <c r="A6" s="127" t="s">
        <v>88</v>
      </c>
      <c r="B6" s="125">
        <v>43956</v>
      </c>
      <c r="C6" s="126" t="s">
        <v>83</v>
      </c>
      <c r="D6" s="113" t="s">
        <v>89</v>
      </c>
      <c r="E6" s="124"/>
      <c r="I6" s="54"/>
    </row>
    <row r="7" spans="1:9" ht="50" x14ac:dyDescent="0.25">
      <c r="A7" s="119" t="s">
        <v>90</v>
      </c>
      <c r="B7" s="120">
        <v>44288</v>
      </c>
      <c r="C7" s="121" t="s">
        <v>91</v>
      </c>
      <c r="D7" s="113" t="s">
        <v>109</v>
      </c>
      <c r="E7" s="124"/>
      <c r="I7" s="54"/>
    </row>
    <row r="8" spans="1:9" x14ac:dyDescent="0.25">
      <c r="A8" s="119" t="s">
        <v>115</v>
      </c>
      <c r="B8" s="133">
        <v>44643</v>
      </c>
      <c r="C8" s="126" t="s">
        <v>113</v>
      </c>
      <c r="D8" s="134" t="s">
        <v>114</v>
      </c>
      <c r="E8" s="124"/>
      <c r="I8" s="54"/>
    </row>
    <row r="9" spans="1:9" x14ac:dyDescent="0.25">
      <c r="I9" s="54"/>
    </row>
  </sheetData>
  <phoneticPr fontId="38" type="noConversion"/>
  <hyperlinks>
    <hyperlink ref="E4" r:id="rId1" location="action=com.ibm.team.workitem.viewWorkItem&amp;id=161842" display="161842" xr:uid="{00000000-0004-0000-0700-000000000000}"/>
  </hyperlinks>
  <pageMargins left="0.78740157499999996" right="0.78740157499999996" top="0.984251969" bottom="0.984251969" header="0.4921259845" footer="0.4921259845"/>
  <pageSetup paperSize="9" orientation="landscape" r:id="rId2"/>
  <headerFooter alignWithMargins="0">
    <oddFooter>&amp;L&amp;8© Robert Bosch GmbH reserves all rights even in the event of industrial property rights. We reserve all rights of disposal such as copying and passing on to third parties.</oddFooter>
  </headerFooter>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ILMBoschDocument" ma:contentTypeID="0x010100DAF93142B8DAB548BD4BFA3BB4E583600100606DE797D4E95C4198A5673075AF7DF0" ma:contentTypeVersion="7" ma:contentTypeDescription="Bosch Document Content Type for ILM" ma:contentTypeScope="" ma:versionID="cb9605f39ad369d117a1b84ea669f323">
  <xsd:schema xmlns:xsd="http://www.w3.org/2001/XMLSchema" xmlns:xs="http://www.w3.org/2001/XMLSchema" xmlns:p="http://schemas.microsoft.com/office/2006/metadata/properties" xmlns:ns2="5e4b7f59-9e71-48c3-b891-f595ffa898e3" xmlns:ns3="http://schemas.microsoft.com/sharepoint/v4" targetNamespace="http://schemas.microsoft.com/office/2006/metadata/properties" ma:root="true" ma:fieldsID="107d67ab3667f81a18a053dd264c27fa" ns2:_="" ns3:_="">
    <xsd:import namespace="5e4b7f59-9e71-48c3-b891-f595ffa898e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m01e1e746c11454284bff16985df8303"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4b7f59-9e71-48c3-b891-f595ffa898e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01e1e746c11454284bff16985df8303" ma:index="11" nillable="true" ma:taxonomy="true" ma:internalName="m01e1e746c11454284bff16985df8303" ma:taxonomyFieldName="DMSKeywords" ma:displayName="Keywords" ma:fieldId="{601e1e74-6c11-4542-84bf-f16985df8303}" ma:sspId="b81b984e-7d9a-4f77-a40b-67f8485df2c3" ma:termSetId="126e34f5-8741-4697-a03d-2b66c39497a3"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3c2ad2d7-659e-4afd-8e23-7d0aa76e6c2b}" ma:internalName="TaxCatchAll" ma:showField="CatchAllData"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c2ad2d7-659e-4afd-8e23-7d0aa76e6c2b}" ma:internalName="TaxCatchAllLabel" ma:readOnly="true" ma:showField="CatchAllDataLabel"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Delete when archiving"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m01e1e746c11454284bff16985df8303 xmlns="5e4b7f59-9e71-48c3-b891-f595ffa898e3">
      <Terms xmlns="http://schemas.microsoft.com/office/infopath/2007/PartnerControls"/>
    </m01e1e746c11454284bff16985df8303>
    <ArchivingPeriod xmlns="5e4b7f59-9e71-48c3-b891-f595ffa898e3">10</ArchivingPeriod>
    <ISC xmlns="5e4b7f59-9e71-48c3-b891-f595ffa898e3">1</ISC>
    <Revisions xmlns="5e4b7f59-9e71-48c3-b891-f595ffa898e3">
      <Url xsi:nil="true"/>
      <Description xsi:nil="true"/>
    </Revisions>
    <ILMItemType xmlns="5e4b7f59-9e71-48c3-b891-f595ffa898e3">ConceptualItem</ILMItemType>
    <ILMCreationRevision xmlns="5e4b7f59-9e71-48c3-b891-f595ffa898e3">false</ILMCreationRevision>
    <_dlc_DocId xmlns="5e4b7f59-9e71-48c3-b891-f595ffa898e3">P01S073225-32364773-42</_dlc_DocId>
    <Safeguarding xmlns="5e4b7f59-9e71-48c3-b891-f595ffa898e3">No</Safeguarding>
    <CSC xmlns="5e4b7f59-9e71-48c3-b891-f595ffa898e3">1</CSC>
    <TaxCatchAll xmlns="5e4b7f59-9e71-48c3-b891-f595ffa898e3"/>
    <_dlc_DocIdUrl xmlns="5e4b7f59-9e71-48c3-b891-f595ffa898e3">
      <Url>https://sites.inside-share.bosch.com/sites/073225/_layouts/15/DocIdRedir.aspx?ID=P01S073225-32364773-42</Url>
      <Description>P01S073225-32364773-42</Description>
    </_dlc_DocIdUrl>
    <IlmBasedOn xmlns="5e4b7f59-9e71-48c3-b891-f595ffa898e3" xsi:nil="true"/>
    <ASC xmlns="5e4b7f59-9e71-48c3-b891-f595ffa898e3">1</ASC>
    <Historicalrelevance xmlns="5e4b7f59-9e71-48c3-b891-f595ffa898e3">No</Historicalrelevance>
    <IconOverlay xmlns="http://schemas.microsoft.com/sharepoint/v4" xsi:nil="true"/>
    <LockedStatus xmlns="5e4b7f59-9e71-48c3-b891-f595ffa898e3">Unlocked</LockedStatus>
  </documentManagement>
</p:properties>
</file>

<file path=customXml/itemProps1.xml><?xml version="1.0" encoding="utf-8"?>
<ds:datastoreItem xmlns:ds="http://schemas.openxmlformats.org/officeDocument/2006/customXml" ds:itemID="{31B9B472-4704-490A-9591-929AEE256FDA}">
  <ds:schemaRefs>
    <ds:schemaRef ds:uri="http://schemas.microsoft.com/sharepoint/v3/contenttype/forms"/>
  </ds:schemaRefs>
</ds:datastoreItem>
</file>

<file path=customXml/itemProps2.xml><?xml version="1.0" encoding="utf-8"?>
<ds:datastoreItem xmlns:ds="http://schemas.openxmlformats.org/officeDocument/2006/customXml" ds:itemID="{1D0CDB48-E70C-493B-A3F4-BBA3F5765E85}">
  <ds:schemaRefs>
    <ds:schemaRef ds:uri="http://schemas.microsoft.com/sharepoint/events"/>
  </ds:schemaRefs>
</ds:datastoreItem>
</file>

<file path=customXml/itemProps3.xml><?xml version="1.0" encoding="utf-8"?>
<ds:datastoreItem xmlns:ds="http://schemas.openxmlformats.org/officeDocument/2006/customXml" ds:itemID="{E4D66F13-33E5-410D-A78C-A85B47352C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4b7f59-9e71-48c3-b891-f595ffa898e3"/>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82A16DD-518B-433D-A2E5-53A2F64706D8}">
  <ds:schemaRefs>
    <ds:schemaRef ds:uri="5e4b7f59-9e71-48c3-b891-f595ffa898e3"/>
    <ds:schemaRef ds:uri="http://schemas.microsoft.com/office/2006/documentManagement/types"/>
    <ds:schemaRef ds:uri="http://schemas.microsoft.com/sharepoint/v4"/>
    <ds:schemaRef ds:uri="http://schemas.openxmlformats.org/package/2006/metadata/core-properties"/>
    <ds:schemaRef ds:uri="http://purl.org/dc/elements/1.1/"/>
    <ds:schemaRef ds:uri="http://purl.org/dc/dcmitype/"/>
    <ds:schemaRef ds:uri="http://schemas.microsoft.com/office/infopath/2007/PartnerControls"/>
    <ds:schemaRef ds:uri="http://purl.org/dc/term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11</vt:i4>
      </vt:variant>
    </vt:vector>
  </HeadingPairs>
  <TitlesOfParts>
    <vt:vector size="18" baseType="lpstr">
      <vt:lpstr>General_Info</vt:lpstr>
      <vt:lpstr>Test_Specification</vt:lpstr>
      <vt:lpstr>Example_Test_Specification</vt:lpstr>
      <vt:lpstr>EC_BVA_Data x.y</vt:lpstr>
      <vt:lpstr>DT_Data x.y</vt:lpstr>
      <vt:lpstr>Helpful Links</vt:lpstr>
      <vt:lpstr>History of Template</vt:lpstr>
      <vt:lpstr>'DT_Data x.y'!methodsList</vt:lpstr>
      <vt:lpstr>'EC_BVA_Data x.y'!methodsList</vt:lpstr>
      <vt:lpstr>'Helpful Links'!methodsList</vt:lpstr>
      <vt:lpstr>'History of Template'!methodslist</vt:lpstr>
      <vt:lpstr>'DT_Data x.y'!methodsListe</vt:lpstr>
      <vt:lpstr>'EC_BVA_Data x.y'!methodsListe</vt:lpstr>
      <vt:lpstr>'Helpful Links'!methodsListe</vt:lpstr>
      <vt:lpstr>'History of Template'!methodsListe</vt:lpstr>
      <vt:lpstr>Example_Test_Specification!Print_Area</vt:lpstr>
      <vt:lpstr>General_Info!Print_Area</vt:lpstr>
      <vt:lpstr>Test_Specification!Print_Area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PIT Specification and Protocol</dc:title>
  <dc:subject>Template for primary installation test</dc:subject>
  <dc:creator>fixed-term.manuela.raidl@at.bosch.com</dc:creator>
  <cp:lastModifiedBy>夏成楷。</cp:lastModifiedBy>
  <cp:lastPrinted>2010-07-05T06:25:23Z</cp:lastPrinted>
  <dcterms:created xsi:type="dcterms:W3CDTF">2006-09-25T05:50:37Z</dcterms:created>
  <dcterms:modified xsi:type="dcterms:W3CDTF">2022-11-24T02:55:26Z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0x010100DAF93142B8DAB548BD4BFA3BB4E583600100606DE797D4E95C4198A5673075AF7DF0</vt:lpwstr>
  </property>
  <property fmtid="{D5CDD505-2E9C-101B-9397-08002B2CF9AE}" pid="3" name="DMSKeywords">
    <vt:lpwstr/>
  </property>
  <property fmtid="{D5CDD505-2E9C-101B-9397-08002B2CF9AE}" pid="4" name="_dlc_DocIdItemGuid">
    <vt:lpwstr>47218869-f539-41b3-80a5-989b011eb637</vt:lpwstr>
  </property>
</Properties>
</file>